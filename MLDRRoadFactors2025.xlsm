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Howard\OneDrive\Documents\athletics\Road_2025\"/>
    </mc:Choice>
  </mc:AlternateContent>
  <xr:revisionPtr revIDLastSave="0" documentId="13_ncr:1_{2AC40912-6E3C-4726-9C30-C79191ECA8B3}" xr6:coauthVersionLast="47" xr6:coauthVersionMax="47" xr10:uidLastSave="{00000000-0000-0000-0000-000000000000}"/>
  <bookViews>
    <workbookView xWindow="1200" yWindow="1995" windowWidth="18465" windowHeight="12060" activeTab="1" xr2:uid="{EFC1D95F-5BF6-4D6E-BAC0-762CEC83EAA4}"/>
  </bookViews>
  <sheets>
    <sheet name="Female" sheetId="2" r:id="rId1"/>
    <sheet name="Male" sheetId="1" r:id="rId2"/>
    <sheet name="Example" sheetId="3" r:id="rId3"/>
  </sheets>
  <externalReferences>
    <externalReference r:id="rId4"/>
  </externalReferences>
  <definedNames>
    <definedName name="Event">[1]Male!#REF!</definedName>
    <definedName name="mile">[1]Male!#REF!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" i="3" l="1"/>
  <c r="B5" i="3"/>
  <c r="B10" i="3"/>
  <c r="B6" i="3"/>
  <c r="B13" i="3"/>
  <c r="B12" i="3"/>
  <c r="B11" i="3"/>
  <c r="D2" i="3"/>
  <c r="D4" i="3"/>
  <c r="D5" i="3" s="1" a="1"/>
  <c r="D5" i="3" l="1"/>
  <c r="D6" i="3" a="1"/>
  <c r="D6" i="3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<sst xmlns="http://schemas.openxmlformats.org/spreadsheetml/2006/main" count="109" uniqueCount="80">
  <si>
    <t>Event</t>
  </si>
  <si>
    <t>dist(km)</t>
  </si>
  <si>
    <t>OC</t>
  </si>
  <si>
    <t>M1MileRoad</t>
  </si>
  <si>
    <t>1MileRoad</t>
  </si>
  <si>
    <t>M5kmRoad</t>
  </si>
  <si>
    <t>5kmRoad</t>
  </si>
  <si>
    <t>M6kmRoad</t>
  </si>
  <si>
    <t>6kmRoad</t>
  </si>
  <si>
    <t>M4MileRoad</t>
  </si>
  <si>
    <t>4MileRoad</t>
  </si>
  <si>
    <t>M8kmRoad</t>
  </si>
  <si>
    <t>8kmRoad</t>
  </si>
  <si>
    <t>M5MileRoad</t>
  </si>
  <si>
    <t>5MileRoad</t>
  </si>
  <si>
    <t>M10kmRoad</t>
  </si>
  <si>
    <t>10kmRoad</t>
  </si>
  <si>
    <t>M7Mile</t>
  </si>
  <si>
    <t>7Mile</t>
  </si>
  <si>
    <t>M12km</t>
  </si>
  <si>
    <t>12km</t>
  </si>
  <si>
    <t>M15km</t>
  </si>
  <si>
    <t>15km</t>
  </si>
  <si>
    <t>M10Mile</t>
  </si>
  <si>
    <t>10Mile</t>
  </si>
  <si>
    <t>M20km</t>
  </si>
  <si>
    <t>20km</t>
  </si>
  <si>
    <t>MHalf.Mar</t>
  </si>
  <si>
    <t>Half.Mar</t>
  </si>
  <si>
    <t>M25km</t>
  </si>
  <si>
    <t>25km</t>
  </si>
  <si>
    <t>M30km</t>
  </si>
  <si>
    <t>30km</t>
  </si>
  <si>
    <t>MMarathon</t>
  </si>
  <si>
    <t>Marathon</t>
  </si>
  <si>
    <t>M50km</t>
  </si>
  <si>
    <t>50km</t>
  </si>
  <si>
    <t>M50Mile</t>
  </si>
  <si>
    <t>50Mile</t>
  </si>
  <si>
    <t>M100km</t>
  </si>
  <si>
    <t>100km</t>
  </si>
  <si>
    <t>M150km</t>
  </si>
  <si>
    <t>150km</t>
  </si>
  <si>
    <t>M100Mile</t>
  </si>
  <si>
    <t>100Mile</t>
  </si>
  <si>
    <t>M200km</t>
  </si>
  <si>
    <t>200km</t>
  </si>
  <si>
    <t>F200km</t>
  </si>
  <si>
    <t>F100Mile</t>
  </si>
  <si>
    <t>F150km</t>
  </si>
  <si>
    <t>F100km</t>
  </si>
  <si>
    <t>F50Mile</t>
  </si>
  <si>
    <t>F50km</t>
  </si>
  <si>
    <t>FMarathon</t>
  </si>
  <si>
    <t>F30km</t>
  </si>
  <si>
    <t>F25km</t>
  </si>
  <si>
    <t>FHalf.Mar</t>
  </si>
  <si>
    <t>F20km</t>
  </si>
  <si>
    <t>F10Mile</t>
  </si>
  <si>
    <t>F15km</t>
  </si>
  <si>
    <t>F12km</t>
  </si>
  <si>
    <t>F7Mile</t>
  </si>
  <si>
    <t>F10kmRoad</t>
  </si>
  <si>
    <t>F5MileRoad</t>
  </si>
  <si>
    <t>F8kmRoad</t>
  </si>
  <si>
    <t>F4MileRoad</t>
  </si>
  <si>
    <t>F6kmRoad</t>
  </si>
  <si>
    <t>F5kmRoad</t>
  </si>
  <si>
    <t>F1MileRoad</t>
  </si>
  <si>
    <t>Example</t>
  </si>
  <si>
    <t>age</t>
  </si>
  <si>
    <t>gender</t>
  </si>
  <si>
    <t>event</t>
  </si>
  <si>
    <t>open standard</t>
  </si>
  <si>
    <t>age factor</t>
  </si>
  <si>
    <t>age-std-m/s</t>
  </si>
  <si>
    <t>%WR</t>
  </si>
  <si>
    <t>result(secs)</t>
  </si>
  <si>
    <t>Female</t>
  </si>
  <si>
    <t>Lookup formulae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</si>
</sst>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"/>
  </numFmts>
  <fonts count="2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0"/>
      <name val="Arial"/>
    </font>
    <font>
      <b/>
      <sz val="10"/>
      <name val="Arial"/>
      <family val="2"/>
    </font>
    <font>
      <sz val="10"/>
      <name val="Arial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/>
    <xf numFmtId="9" fontId="18" fillId="0" borderId="0" applyFont="0" applyFill="0" applyBorder="0" applyAlignment="0" applyProtection="0"/>
  </cellStyleXfs>
  <cellXfs count="12">
    <xf numFmtId="0" fontId="0" fillId="0" borderId="0" xfId="0"/>
    <xf numFmtId="0" fontId="19" fillId="33" borderId="0" xfId="42" applyFont="1" applyFill="1"/>
    <xf numFmtId="0" fontId="18" fillId="0" borderId="0" xfId="42"/>
    <xf numFmtId="0" fontId="18" fillId="34" borderId="0" xfId="42" applyFill="1"/>
    <xf numFmtId="0" fontId="18" fillId="35" borderId="0" xfId="42" applyFill="1"/>
    <xf numFmtId="0" fontId="20" fillId="35" borderId="0" xfId="42" applyFont="1" applyFill="1"/>
    <xf numFmtId="0" fontId="20" fillId="34" borderId="0" xfId="42" applyFont="1" applyFill="1"/>
    <xf numFmtId="164" fontId="18" fillId="34" borderId="0" xfId="42" applyNumberFormat="1" applyFill="1"/>
    <xf numFmtId="9" fontId="0" fillId="34" borderId="0" xfId="43" applyFont="1" applyFill="1"/>
    <xf numFmtId="0" fontId="18" fillId="36" borderId="0" xfId="42" applyFill="1"/>
    <xf numFmtId="165" fontId="18" fillId="34" borderId="0" xfId="42" applyNumberFormat="1" applyFill="1"/>
    <xf numFmtId="1" fontId="18" fillId="34" borderId="0" xfId="42" applyNumberFormat="1" applyFill="1"/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2" xr:uid="{E65812C7-976B-47E7-A1B8-892495E38AD2}"/>
    <cellStyle name="Note" xfId="15" builtinId="10" customBuiltin="1"/>
    <cellStyle name="Output" xfId="10" builtinId="21" customBuiltin="1"/>
    <cellStyle name="Percent 2" xfId="43" xr:uid="{5F726BC9-251B-4360-ABEC-F0733BA1E41F}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Howard\WWW\localhost\athletics\Road_2020\MLDRRoadFactors2020.xlsm" TargetMode="External"/><Relationship Id="rId1" Type="http://schemas.openxmlformats.org/officeDocument/2006/relationships/externalLinkPath" Target="file:///C:\Users\Howard\WWW\localhost\athletics\Road_2020\MLDRRoadFactors202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Female"/>
      <sheetName val="Male"/>
      <sheetName val="Example"/>
    </sheetNames>
    <sheetDataSet>
      <sheetData sheetId="0" refreshError="1"/>
      <sheetData sheetId="1"/>
      <sheetData sheetId="2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710BCB-72DD-4854-A432-9ED6D2D1796F}">
  <sheetPr codeName="Sheet1"/>
  <dimension ref="A1:CV23"/>
  <sheetViews>
    <sheetView workbookViewId="0">
      <selection activeCell="D1" sqref="D1"/>
    </sheetView>
  </sheetViews>
  <sheetFormatPr defaultRowHeight="14.25"/>
  <cols>
    <col min="1" max="1" width="10.875" bestFit="1" customWidth="1"/>
    <col min="2" max="2" width="9.75" bestFit="1" customWidth="1"/>
  </cols>
  <sheetData>
    <row r="1" spans="1:100">
      <c r="B1" t="s">
        <v>0</v>
      </c>
      <c r="C1" t="s">
        <v>1</v>
      </c>
      <c r="D1" t="s">
        <v>2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  <c r="Q1">
        <v>17</v>
      </c>
      <c r="R1">
        <v>18</v>
      </c>
      <c r="S1">
        <v>19</v>
      </c>
      <c r="T1">
        <v>20</v>
      </c>
      <c r="U1">
        <v>21</v>
      </c>
      <c r="V1">
        <v>22</v>
      </c>
      <c r="W1">
        <v>23</v>
      </c>
      <c r="X1">
        <v>24</v>
      </c>
      <c r="Y1">
        <v>25</v>
      </c>
      <c r="Z1">
        <v>26</v>
      </c>
      <c r="AA1">
        <v>27</v>
      </c>
      <c r="AB1">
        <v>28</v>
      </c>
      <c r="AC1">
        <v>29</v>
      </c>
      <c r="AD1">
        <v>30</v>
      </c>
      <c r="AE1">
        <v>31</v>
      </c>
      <c r="AF1">
        <v>32</v>
      </c>
      <c r="AG1">
        <v>33</v>
      </c>
      <c r="AH1">
        <v>34</v>
      </c>
      <c r="AI1">
        <v>35</v>
      </c>
      <c r="AJ1">
        <v>36</v>
      </c>
      <c r="AK1">
        <v>37</v>
      </c>
      <c r="AL1">
        <v>38</v>
      </c>
      <c r="AM1">
        <v>39</v>
      </c>
      <c r="AN1">
        <v>40</v>
      </c>
      <c r="AO1">
        <v>41</v>
      </c>
      <c r="AP1">
        <v>42</v>
      </c>
      <c r="AQ1">
        <v>43</v>
      </c>
      <c r="AR1">
        <v>44</v>
      </c>
      <c r="AS1">
        <v>45</v>
      </c>
      <c r="AT1">
        <v>46</v>
      </c>
      <c r="AU1">
        <v>47</v>
      </c>
      <c r="AV1">
        <v>48</v>
      </c>
      <c r="AW1">
        <v>49</v>
      </c>
      <c r="AX1">
        <v>50</v>
      </c>
      <c r="AY1">
        <v>51</v>
      </c>
      <c r="AZ1">
        <v>52</v>
      </c>
      <c r="BA1">
        <v>53</v>
      </c>
      <c r="BB1">
        <v>54</v>
      </c>
      <c r="BC1">
        <v>55</v>
      </c>
      <c r="BD1">
        <v>56</v>
      </c>
      <c r="BE1">
        <v>57</v>
      </c>
      <c r="BF1">
        <v>58</v>
      </c>
      <c r="BG1">
        <v>59</v>
      </c>
      <c r="BH1">
        <v>60</v>
      </c>
      <c r="BI1">
        <v>61</v>
      </c>
      <c r="BJ1">
        <v>62</v>
      </c>
      <c r="BK1">
        <v>63</v>
      </c>
      <c r="BL1">
        <v>64</v>
      </c>
      <c r="BM1">
        <v>65</v>
      </c>
      <c r="BN1">
        <v>66</v>
      </c>
      <c r="BO1">
        <v>67</v>
      </c>
      <c r="BP1">
        <v>68</v>
      </c>
      <c r="BQ1">
        <v>69</v>
      </c>
      <c r="BR1">
        <v>70</v>
      </c>
      <c r="BS1">
        <v>71</v>
      </c>
      <c r="BT1">
        <v>72</v>
      </c>
      <c r="BU1">
        <v>73</v>
      </c>
      <c r="BV1">
        <v>74</v>
      </c>
      <c r="BW1">
        <v>75</v>
      </c>
      <c r="BX1">
        <v>76</v>
      </c>
      <c r="BY1">
        <v>77</v>
      </c>
      <c r="BZ1">
        <v>78</v>
      </c>
      <c r="CA1">
        <v>79</v>
      </c>
      <c r="CB1">
        <v>80</v>
      </c>
      <c r="CC1">
        <v>81</v>
      </c>
      <c r="CD1">
        <v>82</v>
      </c>
      <c r="CE1">
        <v>83</v>
      </c>
      <c r="CF1">
        <v>84</v>
      </c>
      <c r="CG1">
        <v>85</v>
      </c>
      <c r="CH1">
        <v>86</v>
      </c>
      <c r="CI1">
        <v>87</v>
      </c>
      <c r="CJ1">
        <v>88</v>
      </c>
      <c r="CK1">
        <v>89</v>
      </c>
      <c r="CL1">
        <v>90</v>
      </c>
      <c r="CM1">
        <v>91</v>
      </c>
      <c r="CN1">
        <v>92</v>
      </c>
      <c r="CO1">
        <v>93</v>
      </c>
      <c r="CP1">
        <v>94</v>
      </c>
      <c r="CQ1">
        <v>95</v>
      </c>
      <c r="CR1">
        <v>96</v>
      </c>
      <c r="CS1">
        <v>97</v>
      </c>
      <c r="CT1">
        <v>98</v>
      </c>
      <c r="CU1">
        <v>99</v>
      </c>
      <c r="CV1">
        <v>100</v>
      </c>
    </row>
    <row r="2" spans="1:100">
      <c r="A2" t="s">
        <v>68</v>
      </c>
      <c r="B2" t="s">
        <v>4</v>
      </c>
      <c r="C2">
        <v>1.6093440000000001</v>
      </c>
      <c r="D2">
        <v>253</v>
      </c>
      <c r="E2">
        <v>0.72199999999999998</v>
      </c>
      <c r="F2">
        <v>0.75129999999999997</v>
      </c>
      <c r="G2">
        <v>0.7792</v>
      </c>
      <c r="H2">
        <v>0.80569999999999997</v>
      </c>
      <c r="I2">
        <v>0.83079999999999998</v>
      </c>
      <c r="J2">
        <v>0.85450000000000004</v>
      </c>
      <c r="K2">
        <v>0.87680000000000002</v>
      </c>
      <c r="L2">
        <v>0.89770000000000005</v>
      </c>
      <c r="M2">
        <v>0.91720000000000002</v>
      </c>
      <c r="N2">
        <v>0.93530000000000002</v>
      </c>
      <c r="O2">
        <v>0.95199999999999996</v>
      </c>
      <c r="P2">
        <v>0.96799999999999997</v>
      </c>
      <c r="Q2">
        <v>0.98399999999999999</v>
      </c>
      <c r="R2">
        <v>0.996</v>
      </c>
      <c r="S2">
        <v>1</v>
      </c>
      <c r="T2">
        <v>1</v>
      </c>
      <c r="U2">
        <v>1</v>
      </c>
      <c r="V2">
        <v>1</v>
      </c>
      <c r="W2">
        <v>1</v>
      </c>
      <c r="X2">
        <v>1</v>
      </c>
      <c r="Y2">
        <v>1</v>
      </c>
      <c r="Z2">
        <v>1</v>
      </c>
      <c r="AA2">
        <v>1</v>
      </c>
      <c r="AB2">
        <v>1</v>
      </c>
      <c r="AC2">
        <v>1</v>
      </c>
      <c r="AD2">
        <v>1</v>
      </c>
      <c r="AE2">
        <v>1</v>
      </c>
      <c r="AF2">
        <v>1</v>
      </c>
      <c r="AG2">
        <v>1</v>
      </c>
      <c r="AH2">
        <v>1</v>
      </c>
      <c r="AI2">
        <v>0.99380000000000002</v>
      </c>
      <c r="AJ2">
        <v>0.99109999999999998</v>
      </c>
      <c r="AK2">
        <v>0.98780000000000001</v>
      </c>
      <c r="AL2">
        <v>0.98399999999999999</v>
      </c>
      <c r="AM2">
        <v>0.97970000000000002</v>
      </c>
      <c r="AN2">
        <v>0.9748</v>
      </c>
      <c r="AO2">
        <v>0.96950000000000003</v>
      </c>
      <c r="AP2">
        <v>0.96360000000000001</v>
      </c>
      <c r="AQ2">
        <v>0.95730000000000004</v>
      </c>
      <c r="AR2">
        <v>0.95040000000000002</v>
      </c>
      <c r="AS2">
        <v>0.94299999999999995</v>
      </c>
      <c r="AT2">
        <v>0.93510000000000004</v>
      </c>
      <c r="AU2">
        <v>0.92659999999999998</v>
      </c>
      <c r="AV2">
        <v>0.91769999999999996</v>
      </c>
      <c r="AW2">
        <v>0.90820000000000001</v>
      </c>
      <c r="AX2">
        <v>0.89849999999999997</v>
      </c>
      <c r="AY2">
        <v>0.88880000000000003</v>
      </c>
      <c r="AZ2">
        <v>0.87909999999999999</v>
      </c>
      <c r="BA2">
        <v>0.86939999999999995</v>
      </c>
      <c r="BB2">
        <v>0.85970000000000002</v>
      </c>
      <c r="BC2">
        <v>0.85</v>
      </c>
      <c r="BD2">
        <v>0.84030000000000005</v>
      </c>
      <c r="BE2">
        <v>0.8306</v>
      </c>
      <c r="BF2">
        <v>0.82089999999999996</v>
      </c>
      <c r="BG2">
        <v>0.81110000000000004</v>
      </c>
      <c r="BH2">
        <v>0.8014</v>
      </c>
      <c r="BI2">
        <v>0.79169999999999996</v>
      </c>
      <c r="BJ2">
        <v>0.78200000000000003</v>
      </c>
      <c r="BK2">
        <v>0.77229999999999999</v>
      </c>
      <c r="BL2">
        <v>0.76259999999999994</v>
      </c>
      <c r="BM2">
        <v>0.75290000000000001</v>
      </c>
      <c r="BN2">
        <v>0.74319999999999997</v>
      </c>
      <c r="BO2">
        <v>0.73350000000000004</v>
      </c>
      <c r="BP2">
        <v>0.7238</v>
      </c>
      <c r="BQ2">
        <v>0.71399999999999997</v>
      </c>
      <c r="BR2">
        <v>0.70430000000000004</v>
      </c>
      <c r="BS2">
        <v>0.6946</v>
      </c>
      <c r="BT2">
        <v>0.68489999999999995</v>
      </c>
      <c r="BU2">
        <v>0.67520000000000002</v>
      </c>
      <c r="BV2">
        <v>0.66549999999999998</v>
      </c>
      <c r="BW2">
        <v>0.65580000000000005</v>
      </c>
      <c r="BX2">
        <v>0.64610000000000001</v>
      </c>
      <c r="BY2">
        <v>0.63639999999999997</v>
      </c>
      <c r="BZ2">
        <v>0.62670000000000003</v>
      </c>
      <c r="CA2">
        <v>0.61680000000000001</v>
      </c>
      <c r="CB2">
        <v>0.60619999999999996</v>
      </c>
      <c r="CC2">
        <v>0.59460000000000002</v>
      </c>
      <c r="CD2">
        <v>0.58209999999999995</v>
      </c>
      <c r="CE2">
        <v>0.56859999999999999</v>
      </c>
      <c r="CF2">
        <v>0.55420000000000003</v>
      </c>
      <c r="CG2">
        <v>0.53879999999999995</v>
      </c>
      <c r="CH2">
        <v>0.52249999999999996</v>
      </c>
      <c r="CI2">
        <v>0.50529999999999997</v>
      </c>
      <c r="CJ2">
        <v>0.48709999999999998</v>
      </c>
      <c r="CK2">
        <v>0.46800000000000003</v>
      </c>
      <c r="CL2">
        <v>0.44800000000000001</v>
      </c>
      <c r="CM2">
        <v>0.42699999999999999</v>
      </c>
      <c r="CN2">
        <v>0.40510000000000002</v>
      </c>
      <c r="CO2">
        <v>0.38219999999999998</v>
      </c>
      <c r="CP2">
        <v>0.3584</v>
      </c>
      <c r="CQ2">
        <v>0.33360000000000001</v>
      </c>
      <c r="CR2">
        <v>0.30790000000000001</v>
      </c>
      <c r="CS2">
        <v>0.28129999999999999</v>
      </c>
      <c r="CT2">
        <v>0.25369999999999998</v>
      </c>
      <c r="CU2">
        <v>0.22520000000000001</v>
      </c>
      <c r="CV2">
        <v>0.1958</v>
      </c>
    </row>
    <row r="3" spans="1:100">
      <c r="A3" t="s">
        <v>67</v>
      </c>
      <c r="B3" t="s">
        <v>6</v>
      </c>
      <c r="C3">
        <v>5</v>
      </c>
      <c r="D3">
        <v>834</v>
      </c>
      <c r="E3">
        <v>0.69030000000000002</v>
      </c>
      <c r="F3">
        <v>0.72219999999999995</v>
      </c>
      <c r="G3">
        <v>0.75270000000000004</v>
      </c>
      <c r="H3">
        <v>0.78159999999999996</v>
      </c>
      <c r="I3">
        <v>0.80910000000000004</v>
      </c>
      <c r="J3">
        <v>0.83509999999999995</v>
      </c>
      <c r="K3">
        <v>0.85960000000000003</v>
      </c>
      <c r="L3">
        <v>0.88270000000000004</v>
      </c>
      <c r="M3">
        <v>0.9042</v>
      </c>
      <c r="N3">
        <v>0.92430000000000001</v>
      </c>
      <c r="O3">
        <v>0.94330000000000003</v>
      </c>
      <c r="P3">
        <v>0.96220000000000006</v>
      </c>
      <c r="Q3">
        <v>0.98109999999999997</v>
      </c>
      <c r="R3">
        <v>0.99529999999999996</v>
      </c>
      <c r="S3">
        <v>1</v>
      </c>
      <c r="T3">
        <v>1</v>
      </c>
      <c r="U3">
        <v>1</v>
      </c>
      <c r="V3">
        <v>1</v>
      </c>
      <c r="W3">
        <v>1</v>
      </c>
      <c r="X3">
        <v>1</v>
      </c>
      <c r="Y3">
        <v>1</v>
      </c>
      <c r="Z3">
        <v>1</v>
      </c>
      <c r="AA3">
        <v>0.99970000000000003</v>
      </c>
      <c r="AB3">
        <v>0.999</v>
      </c>
      <c r="AC3">
        <v>0.99770000000000003</v>
      </c>
      <c r="AD3">
        <v>0.99590000000000001</v>
      </c>
      <c r="AE3">
        <v>0.99360000000000004</v>
      </c>
      <c r="AF3">
        <v>0.99080000000000001</v>
      </c>
      <c r="AG3">
        <v>0.98750000000000004</v>
      </c>
      <c r="AH3">
        <v>0.98360000000000003</v>
      </c>
      <c r="AI3">
        <v>0.97929999999999995</v>
      </c>
      <c r="AJ3">
        <v>0.97440000000000004</v>
      </c>
      <c r="AK3">
        <v>0.96909999999999996</v>
      </c>
      <c r="AL3">
        <v>0.96319999999999995</v>
      </c>
      <c r="AM3">
        <v>0.95679999999999998</v>
      </c>
      <c r="AN3">
        <v>0.94989999999999997</v>
      </c>
      <c r="AO3">
        <v>0.9425</v>
      </c>
      <c r="AP3">
        <v>0.93459999999999999</v>
      </c>
      <c r="AQ3">
        <v>0.92620000000000002</v>
      </c>
      <c r="AR3">
        <v>0.91720000000000002</v>
      </c>
      <c r="AS3">
        <v>0.90780000000000005</v>
      </c>
      <c r="AT3">
        <v>0.89800000000000002</v>
      </c>
      <c r="AU3">
        <v>0.88829999999999998</v>
      </c>
      <c r="AV3">
        <v>0.87860000000000005</v>
      </c>
      <c r="AW3">
        <v>0.86890000000000001</v>
      </c>
      <c r="AX3">
        <v>0.85919999999999996</v>
      </c>
      <c r="AY3">
        <v>0.84950000000000003</v>
      </c>
      <c r="AZ3">
        <v>0.83979999999999999</v>
      </c>
      <c r="BA3">
        <v>0.83009999999999995</v>
      </c>
      <c r="BB3">
        <v>0.82040000000000002</v>
      </c>
      <c r="BC3">
        <v>0.81069999999999998</v>
      </c>
      <c r="BD3">
        <v>0.80089999999999995</v>
      </c>
      <c r="BE3">
        <v>0.79120000000000001</v>
      </c>
      <c r="BF3">
        <v>0.78149999999999997</v>
      </c>
      <c r="BG3">
        <v>0.77180000000000004</v>
      </c>
      <c r="BH3">
        <v>0.7621</v>
      </c>
      <c r="BI3">
        <v>0.75239999999999996</v>
      </c>
      <c r="BJ3">
        <v>0.74270000000000003</v>
      </c>
      <c r="BK3">
        <v>0.73299999999999998</v>
      </c>
      <c r="BL3">
        <v>0.72330000000000005</v>
      </c>
      <c r="BM3">
        <v>0.71360000000000001</v>
      </c>
      <c r="BN3">
        <v>0.70379999999999998</v>
      </c>
      <c r="BO3">
        <v>0.69410000000000005</v>
      </c>
      <c r="BP3">
        <v>0.68440000000000001</v>
      </c>
      <c r="BQ3">
        <v>0.67469999999999997</v>
      </c>
      <c r="BR3">
        <v>0.66500000000000004</v>
      </c>
      <c r="BS3">
        <v>0.65529999999999999</v>
      </c>
      <c r="BT3">
        <v>0.64559999999999995</v>
      </c>
      <c r="BU3">
        <v>0.63590000000000002</v>
      </c>
      <c r="BV3">
        <v>0.62619999999999998</v>
      </c>
      <c r="BW3">
        <v>0.61650000000000005</v>
      </c>
      <c r="BX3">
        <v>0.60670000000000002</v>
      </c>
      <c r="BY3">
        <v>0.59699999999999998</v>
      </c>
      <c r="BZ3">
        <v>0.58679999999999999</v>
      </c>
      <c r="CA3">
        <v>0.57579999999999998</v>
      </c>
      <c r="CB3">
        <v>0.56399999999999995</v>
      </c>
      <c r="CC3">
        <v>0.55149999999999999</v>
      </c>
      <c r="CD3">
        <v>0.53820000000000001</v>
      </c>
      <c r="CE3">
        <v>0.5242</v>
      </c>
      <c r="CF3">
        <v>0.50939999999999996</v>
      </c>
      <c r="CG3">
        <v>0.49380000000000002</v>
      </c>
      <c r="CH3">
        <v>0.47749999999999998</v>
      </c>
      <c r="CI3">
        <v>0.46039999999999998</v>
      </c>
      <c r="CJ3">
        <v>0.44259999999999999</v>
      </c>
      <c r="CK3">
        <v>0.42399999999999999</v>
      </c>
      <c r="CL3">
        <v>0.40460000000000002</v>
      </c>
      <c r="CM3">
        <v>0.38450000000000001</v>
      </c>
      <c r="CN3">
        <v>0.36359999999999998</v>
      </c>
      <c r="CO3">
        <v>0.34189999999999998</v>
      </c>
      <c r="CP3">
        <v>0.31950000000000001</v>
      </c>
      <c r="CQ3">
        <v>0.2964</v>
      </c>
      <c r="CR3">
        <v>0.27250000000000002</v>
      </c>
      <c r="CS3">
        <v>0.24779999999999999</v>
      </c>
      <c r="CT3">
        <v>0.2223</v>
      </c>
      <c r="CU3">
        <v>0.1961</v>
      </c>
      <c r="CV3">
        <v>0.16919999999999999</v>
      </c>
    </row>
    <row r="4" spans="1:100">
      <c r="A4" t="s">
        <v>66</v>
      </c>
      <c r="B4" t="s">
        <v>8</v>
      </c>
      <c r="C4">
        <v>6</v>
      </c>
      <c r="D4">
        <v>1010</v>
      </c>
      <c r="E4">
        <v>0.68889999999999996</v>
      </c>
      <c r="F4">
        <v>0.72119999999999995</v>
      </c>
      <c r="G4">
        <v>0.75190000000000001</v>
      </c>
      <c r="H4">
        <v>0.78100000000000003</v>
      </c>
      <c r="I4">
        <v>0.80859999999999999</v>
      </c>
      <c r="J4">
        <v>0.83460000000000001</v>
      </c>
      <c r="K4">
        <v>0.85899999999999999</v>
      </c>
      <c r="L4">
        <v>0.88190000000000002</v>
      </c>
      <c r="M4">
        <v>0.9032</v>
      </c>
      <c r="N4">
        <v>0.92290000000000005</v>
      </c>
      <c r="O4">
        <v>0.94140000000000001</v>
      </c>
      <c r="P4">
        <v>0.95950000000000002</v>
      </c>
      <c r="Q4">
        <v>0.97770000000000001</v>
      </c>
      <c r="R4">
        <v>0.99180000000000001</v>
      </c>
      <c r="S4">
        <v>0.99790000000000001</v>
      </c>
      <c r="T4">
        <v>0.99950000000000006</v>
      </c>
      <c r="U4">
        <v>1</v>
      </c>
      <c r="V4">
        <v>1</v>
      </c>
      <c r="W4">
        <v>1</v>
      </c>
      <c r="X4">
        <v>1</v>
      </c>
      <c r="Y4">
        <v>1</v>
      </c>
      <c r="Z4">
        <v>1</v>
      </c>
      <c r="AA4">
        <v>0.99980000000000002</v>
      </c>
      <c r="AB4">
        <v>0.99919999999999998</v>
      </c>
      <c r="AC4">
        <v>0.99809999999999999</v>
      </c>
      <c r="AD4">
        <v>0.99650000000000005</v>
      </c>
      <c r="AE4">
        <v>0.99429999999999996</v>
      </c>
      <c r="AF4">
        <v>0.99170000000000003</v>
      </c>
      <c r="AG4">
        <v>0.98870000000000002</v>
      </c>
      <c r="AH4">
        <v>0.98499999999999999</v>
      </c>
      <c r="AI4">
        <v>0.98099999999999998</v>
      </c>
      <c r="AJ4">
        <v>0.97640000000000005</v>
      </c>
      <c r="AK4">
        <v>0.97140000000000004</v>
      </c>
      <c r="AL4">
        <v>0.96579999999999999</v>
      </c>
      <c r="AM4">
        <v>0.9597</v>
      </c>
      <c r="AN4">
        <v>0.95320000000000005</v>
      </c>
      <c r="AO4">
        <v>0.94610000000000005</v>
      </c>
      <c r="AP4">
        <v>0.93859999999999999</v>
      </c>
      <c r="AQ4">
        <v>0.93059999999999998</v>
      </c>
      <c r="AR4">
        <v>0.92200000000000004</v>
      </c>
      <c r="AS4">
        <v>0.91310000000000002</v>
      </c>
      <c r="AT4">
        <v>0.90369999999999995</v>
      </c>
      <c r="AU4">
        <v>0.89419999999999999</v>
      </c>
      <c r="AV4">
        <v>0.88470000000000004</v>
      </c>
      <c r="AW4">
        <v>0.875</v>
      </c>
      <c r="AX4">
        <v>0.86519999999999997</v>
      </c>
      <c r="AY4">
        <v>0.85550000000000004</v>
      </c>
      <c r="AZ4">
        <v>0.84570000000000001</v>
      </c>
      <c r="BA4">
        <v>0.83599999999999997</v>
      </c>
      <c r="BB4">
        <v>0.82620000000000005</v>
      </c>
      <c r="BC4">
        <v>0.81640000000000001</v>
      </c>
      <c r="BD4">
        <v>0.80659999999999998</v>
      </c>
      <c r="BE4">
        <v>0.79679999999999995</v>
      </c>
      <c r="BF4">
        <v>0.78710000000000002</v>
      </c>
      <c r="BG4">
        <v>0.77729999999999999</v>
      </c>
      <c r="BH4">
        <v>0.76749999999999996</v>
      </c>
      <c r="BI4">
        <v>0.75780000000000003</v>
      </c>
      <c r="BJ4">
        <v>0.748</v>
      </c>
      <c r="BK4">
        <v>0.73829999999999996</v>
      </c>
      <c r="BL4">
        <v>0.72850000000000004</v>
      </c>
      <c r="BM4">
        <v>0.71870000000000001</v>
      </c>
      <c r="BN4">
        <v>0.70889999999999997</v>
      </c>
      <c r="BO4">
        <v>0.69910000000000005</v>
      </c>
      <c r="BP4">
        <v>0.68940000000000001</v>
      </c>
      <c r="BQ4">
        <v>0.67959999999999998</v>
      </c>
      <c r="BR4">
        <v>0.66979999999999995</v>
      </c>
      <c r="BS4">
        <v>0.66010000000000002</v>
      </c>
      <c r="BT4">
        <v>0.65029999999999999</v>
      </c>
      <c r="BU4">
        <v>0.64059999999999995</v>
      </c>
      <c r="BV4">
        <v>0.63080000000000003</v>
      </c>
      <c r="BW4">
        <v>0.621</v>
      </c>
      <c r="BX4">
        <v>0.61109999999999998</v>
      </c>
      <c r="BY4">
        <v>0.60099999999999998</v>
      </c>
      <c r="BZ4">
        <v>0.59040000000000004</v>
      </c>
      <c r="CA4">
        <v>0.57899999999999996</v>
      </c>
      <c r="CB4">
        <v>0.56679999999999997</v>
      </c>
      <c r="CC4">
        <v>0.55379999999999996</v>
      </c>
      <c r="CD4">
        <v>0.54010000000000002</v>
      </c>
      <c r="CE4">
        <v>0.52569999999999995</v>
      </c>
      <c r="CF4">
        <v>0.51049999999999995</v>
      </c>
      <c r="CG4">
        <v>0.4945</v>
      </c>
      <c r="CH4">
        <v>0.47770000000000001</v>
      </c>
      <c r="CI4">
        <v>0.4602</v>
      </c>
      <c r="CJ4">
        <v>0.442</v>
      </c>
      <c r="CK4">
        <v>0.42299999999999999</v>
      </c>
      <c r="CL4">
        <v>0.4032</v>
      </c>
      <c r="CM4">
        <v>0.3826</v>
      </c>
      <c r="CN4">
        <v>0.36130000000000001</v>
      </c>
      <c r="CO4">
        <v>0.3392</v>
      </c>
      <c r="CP4">
        <v>0.31640000000000001</v>
      </c>
      <c r="CQ4">
        <v>0.2928</v>
      </c>
      <c r="CR4">
        <v>0.26850000000000002</v>
      </c>
      <c r="CS4">
        <v>0.24340000000000001</v>
      </c>
      <c r="CT4">
        <v>0.2175</v>
      </c>
      <c r="CU4">
        <v>0.19089999999999999</v>
      </c>
      <c r="CV4">
        <v>0.16350000000000001</v>
      </c>
    </row>
    <row r="5" spans="1:100">
      <c r="A5" t="s">
        <v>65</v>
      </c>
      <c r="B5" t="s">
        <v>10</v>
      </c>
      <c r="C5">
        <v>6.4373760000000004</v>
      </c>
      <c r="D5">
        <v>1087</v>
      </c>
      <c r="E5">
        <v>0.68840000000000001</v>
      </c>
      <c r="F5">
        <v>0.7208</v>
      </c>
      <c r="G5">
        <v>0.75160000000000005</v>
      </c>
      <c r="H5">
        <v>0.78080000000000005</v>
      </c>
      <c r="I5">
        <v>0.80840000000000001</v>
      </c>
      <c r="J5">
        <v>0.83440000000000003</v>
      </c>
      <c r="K5">
        <v>0.85880000000000001</v>
      </c>
      <c r="L5">
        <v>0.88160000000000005</v>
      </c>
      <c r="M5">
        <v>0.90280000000000005</v>
      </c>
      <c r="N5">
        <v>0.9224</v>
      </c>
      <c r="O5">
        <v>0.94059999999999999</v>
      </c>
      <c r="P5">
        <v>0.95850000000000002</v>
      </c>
      <c r="Q5">
        <v>0.97629999999999995</v>
      </c>
      <c r="R5">
        <v>0.99050000000000005</v>
      </c>
      <c r="S5">
        <v>0.99709999999999999</v>
      </c>
      <c r="T5">
        <v>0.99929999999999997</v>
      </c>
      <c r="U5">
        <v>1</v>
      </c>
      <c r="V5">
        <v>1</v>
      </c>
      <c r="W5">
        <v>1</v>
      </c>
      <c r="X5">
        <v>1</v>
      </c>
      <c r="Y5">
        <v>1</v>
      </c>
      <c r="Z5">
        <v>1</v>
      </c>
      <c r="AA5">
        <v>0.99980000000000002</v>
      </c>
      <c r="AB5">
        <v>0.99929999999999997</v>
      </c>
      <c r="AC5">
        <v>0.99819999999999998</v>
      </c>
      <c r="AD5">
        <v>0.99670000000000003</v>
      </c>
      <c r="AE5">
        <v>0.99460000000000004</v>
      </c>
      <c r="AF5">
        <v>0.99209999999999998</v>
      </c>
      <c r="AG5">
        <v>0.98909999999999998</v>
      </c>
      <c r="AH5">
        <v>0.98560000000000003</v>
      </c>
      <c r="AI5">
        <v>0.98160000000000003</v>
      </c>
      <c r="AJ5">
        <v>0.97709999999999997</v>
      </c>
      <c r="AK5">
        <v>0.97219999999999995</v>
      </c>
      <c r="AL5">
        <v>0.96679999999999999</v>
      </c>
      <c r="AM5">
        <v>0.96079999999999999</v>
      </c>
      <c r="AN5">
        <v>0.95440000000000003</v>
      </c>
      <c r="AO5">
        <v>0.94750000000000001</v>
      </c>
      <c r="AP5">
        <v>0.94020000000000004</v>
      </c>
      <c r="AQ5">
        <v>0.93230000000000002</v>
      </c>
      <c r="AR5">
        <v>0.92390000000000005</v>
      </c>
      <c r="AS5">
        <v>0.91510000000000002</v>
      </c>
      <c r="AT5">
        <v>0.90580000000000005</v>
      </c>
      <c r="AU5">
        <v>0.89649999999999996</v>
      </c>
      <c r="AV5">
        <v>0.88700000000000001</v>
      </c>
      <c r="AW5">
        <v>0.87739999999999996</v>
      </c>
      <c r="AX5">
        <v>0.86760000000000004</v>
      </c>
      <c r="AY5">
        <v>0.85780000000000001</v>
      </c>
      <c r="AZ5">
        <v>0.84799999999999998</v>
      </c>
      <c r="BA5">
        <v>0.83819999999999995</v>
      </c>
      <c r="BB5">
        <v>0.82850000000000001</v>
      </c>
      <c r="BC5">
        <v>0.81859999999999999</v>
      </c>
      <c r="BD5">
        <v>0.80879999999999996</v>
      </c>
      <c r="BE5">
        <v>0.79900000000000004</v>
      </c>
      <c r="BF5">
        <v>0.78920000000000001</v>
      </c>
      <c r="BG5">
        <v>0.77949999999999997</v>
      </c>
      <c r="BH5">
        <v>0.76959999999999995</v>
      </c>
      <c r="BI5">
        <v>0.75990000000000002</v>
      </c>
      <c r="BJ5">
        <v>0.75009999999999999</v>
      </c>
      <c r="BK5">
        <v>0.74029999999999996</v>
      </c>
      <c r="BL5">
        <v>0.73050000000000004</v>
      </c>
      <c r="BM5">
        <v>0.72070000000000001</v>
      </c>
      <c r="BN5">
        <v>0.71089999999999998</v>
      </c>
      <c r="BO5">
        <v>0.70109999999999995</v>
      </c>
      <c r="BP5">
        <v>0.69130000000000003</v>
      </c>
      <c r="BQ5">
        <v>0.68149999999999999</v>
      </c>
      <c r="BR5">
        <v>0.67169999999999996</v>
      </c>
      <c r="BS5">
        <v>0.66190000000000004</v>
      </c>
      <c r="BT5">
        <v>0.65210000000000001</v>
      </c>
      <c r="BU5">
        <v>0.64239999999999997</v>
      </c>
      <c r="BV5">
        <v>0.63260000000000005</v>
      </c>
      <c r="BW5">
        <v>0.62280000000000002</v>
      </c>
      <c r="BX5">
        <v>0.61280000000000001</v>
      </c>
      <c r="BY5">
        <v>0.60260000000000002</v>
      </c>
      <c r="BZ5">
        <v>0.59179999999999999</v>
      </c>
      <c r="CA5">
        <v>0.58020000000000005</v>
      </c>
      <c r="CB5">
        <v>0.56779999999999997</v>
      </c>
      <c r="CC5">
        <v>0.55469999999999997</v>
      </c>
      <c r="CD5">
        <v>0.54090000000000005</v>
      </c>
      <c r="CE5">
        <v>0.52629999999999999</v>
      </c>
      <c r="CF5">
        <v>0.51090000000000002</v>
      </c>
      <c r="CG5">
        <v>0.49469999999999997</v>
      </c>
      <c r="CH5">
        <v>0.4778</v>
      </c>
      <c r="CI5">
        <v>0.46010000000000001</v>
      </c>
      <c r="CJ5">
        <v>0.44180000000000003</v>
      </c>
      <c r="CK5">
        <v>0.42259999999999998</v>
      </c>
      <c r="CL5">
        <v>0.40260000000000001</v>
      </c>
      <c r="CM5">
        <v>0.38190000000000002</v>
      </c>
      <c r="CN5">
        <v>0.3604</v>
      </c>
      <c r="CO5">
        <v>0.3382</v>
      </c>
      <c r="CP5">
        <v>0.31519999999999998</v>
      </c>
      <c r="CQ5">
        <v>0.29149999999999998</v>
      </c>
      <c r="CR5">
        <v>0.26700000000000002</v>
      </c>
      <c r="CS5">
        <v>0.2417</v>
      </c>
      <c r="CT5">
        <v>0.2157</v>
      </c>
      <c r="CU5">
        <v>0.18890000000000001</v>
      </c>
      <c r="CV5">
        <v>0.16139999999999999</v>
      </c>
    </row>
    <row r="6" spans="1:100">
      <c r="A6" t="s">
        <v>64</v>
      </c>
      <c r="B6" t="s">
        <v>12</v>
      </c>
      <c r="C6">
        <v>8</v>
      </c>
      <c r="D6">
        <v>1365</v>
      </c>
      <c r="E6">
        <v>0.68669999999999998</v>
      </c>
      <c r="F6">
        <v>0.71960000000000002</v>
      </c>
      <c r="G6">
        <v>0.75070000000000003</v>
      </c>
      <c r="H6">
        <v>0.78010000000000002</v>
      </c>
      <c r="I6">
        <v>0.80779999999999996</v>
      </c>
      <c r="J6">
        <v>0.83389999999999997</v>
      </c>
      <c r="K6">
        <v>0.85809999999999997</v>
      </c>
      <c r="L6">
        <v>0.88070000000000004</v>
      </c>
      <c r="M6">
        <v>0.90159999999999996</v>
      </c>
      <c r="N6">
        <v>0.92079999999999995</v>
      </c>
      <c r="O6">
        <v>0.93840000000000001</v>
      </c>
      <c r="P6">
        <v>0.95530000000000004</v>
      </c>
      <c r="Q6">
        <v>0.97219999999999995</v>
      </c>
      <c r="R6">
        <v>0.98629999999999995</v>
      </c>
      <c r="S6">
        <v>0.99460000000000004</v>
      </c>
      <c r="T6">
        <v>0.99860000000000004</v>
      </c>
      <c r="U6">
        <v>1</v>
      </c>
      <c r="V6">
        <v>1</v>
      </c>
      <c r="W6">
        <v>1</v>
      </c>
      <c r="X6">
        <v>1</v>
      </c>
      <c r="Y6">
        <v>1</v>
      </c>
      <c r="Z6">
        <v>1</v>
      </c>
      <c r="AA6">
        <v>0.99990000000000001</v>
      </c>
      <c r="AB6">
        <v>0.99950000000000006</v>
      </c>
      <c r="AC6">
        <v>0.99860000000000004</v>
      </c>
      <c r="AD6">
        <v>0.99729999999999996</v>
      </c>
      <c r="AE6">
        <v>0.99550000000000005</v>
      </c>
      <c r="AF6">
        <v>0.99319999999999997</v>
      </c>
      <c r="AG6">
        <v>0.99060000000000004</v>
      </c>
      <c r="AH6">
        <v>0.98729999999999996</v>
      </c>
      <c r="AI6">
        <v>0.98360000000000003</v>
      </c>
      <c r="AJ6">
        <v>0.97950000000000004</v>
      </c>
      <c r="AK6">
        <v>0.97489999999999999</v>
      </c>
      <c r="AL6">
        <v>0.9698</v>
      </c>
      <c r="AM6">
        <v>0.96430000000000005</v>
      </c>
      <c r="AN6">
        <v>0.95830000000000004</v>
      </c>
      <c r="AO6">
        <v>0.95189999999999997</v>
      </c>
      <c r="AP6">
        <v>0.94499999999999995</v>
      </c>
      <c r="AQ6">
        <v>0.9375</v>
      </c>
      <c r="AR6">
        <v>0.92969999999999997</v>
      </c>
      <c r="AS6">
        <v>0.9214</v>
      </c>
      <c r="AT6">
        <v>0.91259999999999997</v>
      </c>
      <c r="AU6">
        <v>0.90359999999999996</v>
      </c>
      <c r="AV6">
        <v>0.89429999999999998</v>
      </c>
      <c r="AW6">
        <v>0.88460000000000005</v>
      </c>
      <c r="AX6">
        <v>0.87480000000000002</v>
      </c>
      <c r="AY6">
        <v>0.86499999999999999</v>
      </c>
      <c r="AZ6">
        <v>0.85509999999999997</v>
      </c>
      <c r="BA6">
        <v>0.84519999999999995</v>
      </c>
      <c r="BB6">
        <v>0.83540000000000003</v>
      </c>
      <c r="BC6">
        <v>0.82550000000000001</v>
      </c>
      <c r="BD6">
        <v>0.81559999999999999</v>
      </c>
      <c r="BE6">
        <v>0.80569999999999997</v>
      </c>
      <c r="BF6">
        <v>0.79590000000000005</v>
      </c>
      <c r="BG6">
        <v>0.78600000000000003</v>
      </c>
      <c r="BH6">
        <v>0.77610000000000001</v>
      </c>
      <c r="BI6">
        <v>0.76629999999999998</v>
      </c>
      <c r="BJ6">
        <v>0.75639999999999996</v>
      </c>
      <c r="BK6">
        <v>0.74660000000000004</v>
      </c>
      <c r="BL6">
        <v>0.73670000000000002</v>
      </c>
      <c r="BM6">
        <v>0.7268</v>
      </c>
      <c r="BN6">
        <v>0.71699999999999997</v>
      </c>
      <c r="BO6">
        <v>0.70709999999999995</v>
      </c>
      <c r="BP6">
        <v>0.69720000000000004</v>
      </c>
      <c r="BQ6">
        <v>0.68740000000000001</v>
      </c>
      <c r="BR6">
        <v>0.67749999999999999</v>
      </c>
      <c r="BS6">
        <v>0.66759999999999997</v>
      </c>
      <c r="BT6">
        <v>0.65769999999999995</v>
      </c>
      <c r="BU6">
        <v>0.64790000000000003</v>
      </c>
      <c r="BV6">
        <v>0.6381</v>
      </c>
      <c r="BW6">
        <v>0.62819999999999998</v>
      </c>
      <c r="BX6">
        <v>0.61799999999999999</v>
      </c>
      <c r="BY6">
        <v>0.60740000000000005</v>
      </c>
      <c r="BZ6">
        <v>0.59609999999999996</v>
      </c>
      <c r="CA6">
        <v>0.58399999999999996</v>
      </c>
      <c r="CB6">
        <v>0.57110000000000005</v>
      </c>
      <c r="CC6">
        <v>0.5575</v>
      </c>
      <c r="CD6">
        <v>0.54310000000000003</v>
      </c>
      <c r="CE6">
        <v>0.52810000000000001</v>
      </c>
      <c r="CF6">
        <v>0.51219999999999999</v>
      </c>
      <c r="CG6">
        <v>0.4955</v>
      </c>
      <c r="CH6">
        <v>0.47810000000000002</v>
      </c>
      <c r="CI6">
        <v>0.45989999999999998</v>
      </c>
      <c r="CJ6">
        <v>0.441</v>
      </c>
      <c r="CK6">
        <v>0.4214</v>
      </c>
      <c r="CL6">
        <v>0.40089999999999998</v>
      </c>
      <c r="CM6">
        <v>0.37969999999999998</v>
      </c>
      <c r="CN6">
        <v>0.35770000000000002</v>
      </c>
      <c r="CO6">
        <v>0.33500000000000002</v>
      </c>
      <c r="CP6">
        <v>0.3115</v>
      </c>
      <c r="CQ6">
        <v>0.28720000000000001</v>
      </c>
      <c r="CR6">
        <v>0.26229999999999998</v>
      </c>
      <c r="CS6">
        <v>0.23649999999999999</v>
      </c>
      <c r="CT6">
        <v>0.21</v>
      </c>
      <c r="CU6">
        <v>0.1827</v>
      </c>
      <c r="CV6">
        <v>0.15459999999999999</v>
      </c>
    </row>
    <row r="7" spans="1:100">
      <c r="A7" t="s">
        <v>63</v>
      </c>
      <c r="B7" t="s">
        <v>14</v>
      </c>
      <c r="C7">
        <v>8.0467200000000005</v>
      </c>
      <c r="D7">
        <v>1375</v>
      </c>
      <c r="E7">
        <v>0.68669999999999998</v>
      </c>
      <c r="F7">
        <v>0.71950000000000003</v>
      </c>
      <c r="G7">
        <v>0.75070000000000003</v>
      </c>
      <c r="H7">
        <v>0.78010000000000002</v>
      </c>
      <c r="I7">
        <v>0.80779999999999996</v>
      </c>
      <c r="J7">
        <v>0.83389999999999997</v>
      </c>
      <c r="K7">
        <v>0.85809999999999997</v>
      </c>
      <c r="L7">
        <v>0.88070000000000004</v>
      </c>
      <c r="M7">
        <v>0.90159999999999996</v>
      </c>
      <c r="N7">
        <v>0.92069999999999996</v>
      </c>
      <c r="O7">
        <v>0.93830000000000002</v>
      </c>
      <c r="P7">
        <v>0.95520000000000005</v>
      </c>
      <c r="Q7">
        <v>0.97209999999999996</v>
      </c>
      <c r="R7">
        <v>0.98619999999999997</v>
      </c>
      <c r="S7">
        <v>0.99450000000000005</v>
      </c>
      <c r="T7">
        <v>0.99860000000000004</v>
      </c>
      <c r="U7">
        <v>1</v>
      </c>
      <c r="V7">
        <v>1</v>
      </c>
      <c r="W7">
        <v>1</v>
      </c>
      <c r="X7">
        <v>1</v>
      </c>
      <c r="Y7">
        <v>1</v>
      </c>
      <c r="Z7">
        <v>1</v>
      </c>
      <c r="AA7">
        <v>0.99990000000000001</v>
      </c>
      <c r="AB7">
        <v>0.99950000000000006</v>
      </c>
      <c r="AC7">
        <v>0.99870000000000003</v>
      </c>
      <c r="AD7">
        <v>0.99729999999999996</v>
      </c>
      <c r="AE7">
        <v>0.99550000000000005</v>
      </c>
      <c r="AF7">
        <v>0.99329999999999996</v>
      </c>
      <c r="AG7">
        <v>0.99060000000000004</v>
      </c>
      <c r="AH7">
        <v>0.98740000000000006</v>
      </c>
      <c r="AI7">
        <v>0.98370000000000002</v>
      </c>
      <c r="AJ7">
        <v>0.97950000000000004</v>
      </c>
      <c r="AK7">
        <v>0.97499999999999998</v>
      </c>
      <c r="AL7">
        <v>0.96989999999999998</v>
      </c>
      <c r="AM7">
        <v>0.96440000000000003</v>
      </c>
      <c r="AN7">
        <v>0.95840000000000003</v>
      </c>
      <c r="AO7">
        <v>0.95199999999999996</v>
      </c>
      <c r="AP7">
        <v>0.94510000000000005</v>
      </c>
      <c r="AQ7">
        <v>0.93769999999999998</v>
      </c>
      <c r="AR7">
        <v>0.92979999999999996</v>
      </c>
      <c r="AS7">
        <v>0.92149999999999999</v>
      </c>
      <c r="AT7">
        <v>0.91279999999999994</v>
      </c>
      <c r="AU7">
        <v>0.90380000000000005</v>
      </c>
      <c r="AV7">
        <v>0.89449999999999996</v>
      </c>
      <c r="AW7">
        <v>0.88480000000000003</v>
      </c>
      <c r="AX7">
        <v>0.875</v>
      </c>
      <c r="AY7">
        <v>0.86519999999999997</v>
      </c>
      <c r="AZ7">
        <v>0.85519999999999996</v>
      </c>
      <c r="BA7">
        <v>0.84540000000000004</v>
      </c>
      <c r="BB7">
        <v>0.83560000000000001</v>
      </c>
      <c r="BC7">
        <v>0.82569999999999999</v>
      </c>
      <c r="BD7">
        <v>0.81579999999999997</v>
      </c>
      <c r="BE7">
        <v>0.80589999999999995</v>
      </c>
      <c r="BF7">
        <v>0.79610000000000003</v>
      </c>
      <c r="BG7">
        <v>0.78620000000000001</v>
      </c>
      <c r="BH7">
        <v>0.77629999999999999</v>
      </c>
      <c r="BI7">
        <v>0.76649999999999996</v>
      </c>
      <c r="BJ7">
        <v>0.75660000000000005</v>
      </c>
      <c r="BK7">
        <v>0.74670000000000003</v>
      </c>
      <c r="BL7">
        <v>0.7369</v>
      </c>
      <c r="BM7">
        <v>0.72699999999999998</v>
      </c>
      <c r="BN7">
        <v>0.71709999999999996</v>
      </c>
      <c r="BO7">
        <v>0.70720000000000005</v>
      </c>
      <c r="BP7">
        <v>0.69740000000000002</v>
      </c>
      <c r="BQ7">
        <v>0.6875</v>
      </c>
      <c r="BR7">
        <v>0.67759999999999998</v>
      </c>
      <c r="BS7">
        <v>0.66779999999999995</v>
      </c>
      <c r="BT7">
        <v>0.65790000000000004</v>
      </c>
      <c r="BU7">
        <v>0.64810000000000001</v>
      </c>
      <c r="BV7">
        <v>0.63819999999999999</v>
      </c>
      <c r="BW7">
        <v>0.62829999999999997</v>
      </c>
      <c r="BX7">
        <v>0.61819999999999997</v>
      </c>
      <c r="BY7">
        <v>0.60750000000000004</v>
      </c>
      <c r="BZ7">
        <v>0.59619999999999995</v>
      </c>
      <c r="CA7">
        <v>0.58409999999999995</v>
      </c>
      <c r="CB7">
        <v>0.57120000000000004</v>
      </c>
      <c r="CC7">
        <v>0.55759999999999998</v>
      </c>
      <c r="CD7">
        <v>0.54320000000000002</v>
      </c>
      <c r="CE7">
        <v>0.52810000000000001</v>
      </c>
      <c r="CF7">
        <v>0.51219999999999999</v>
      </c>
      <c r="CG7">
        <v>0.4955</v>
      </c>
      <c r="CH7">
        <v>0.47810000000000002</v>
      </c>
      <c r="CI7">
        <v>0.45989999999999998</v>
      </c>
      <c r="CJ7">
        <v>0.441</v>
      </c>
      <c r="CK7">
        <v>0.42130000000000001</v>
      </c>
      <c r="CL7">
        <v>0.40079999999999999</v>
      </c>
      <c r="CM7">
        <v>0.37959999999999999</v>
      </c>
      <c r="CN7">
        <v>0.35759999999999997</v>
      </c>
      <c r="CO7">
        <v>0.33489999999999998</v>
      </c>
      <c r="CP7">
        <v>0.31140000000000001</v>
      </c>
      <c r="CQ7">
        <v>0.28710000000000002</v>
      </c>
      <c r="CR7">
        <v>0.2621</v>
      </c>
      <c r="CS7">
        <v>0.23630000000000001</v>
      </c>
      <c r="CT7">
        <v>0.20979999999999999</v>
      </c>
      <c r="CU7">
        <v>0.1825</v>
      </c>
      <c r="CV7">
        <v>0.15440000000000001</v>
      </c>
    </row>
    <row r="8" spans="1:100">
      <c r="A8" t="s">
        <v>62</v>
      </c>
      <c r="B8" t="s">
        <v>16</v>
      </c>
      <c r="C8">
        <v>10</v>
      </c>
      <c r="D8">
        <v>1726</v>
      </c>
      <c r="E8">
        <v>0.68500000000000005</v>
      </c>
      <c r="F8">
        <v>0.71830000000000005</v>
      </c>
      <c r="G8">
        <v>0.74980000000000002</v>
      </c>
      <c r="H8">
        <v>0.77939999999999998</v>
      </c>
      <c r="I8">
        <v>0.80720000000000003</v>
      </c>
      <c r="J8">
        <v>0.83330000000000004</v>
      </c>
      <c r="K8">
        <v>0.85740000000000005</v>
      </c>
      <c r="L8">
        <v>0.87980000000000003</v>
      </c>
      <c r="M8">
        <v>0.90039999999999998</v>
      </c>
      <c r="N8">
        <v>0.91910000000000003</v>
      </c>
      <c r="O8">
        <v>0.93600000000000005</v>
      </c>
      <c r="P8">
        <v>0.95199999999999996</v>
      </c>
      <c r="Q8">
        <v>0.96799999999999997</v>
      </c>
      <c r="R8">
        <v>0.98199999999999998</v>
      </c>
      <c r="S8">
        <v>0.99199999999999999</v>
      </c>
      <c r="T8">
        <v>0.998</v>
      </c>
      <c r="U8">
        <v>1</v>
      </c>
      <c r="V8">
        <v>1</v>
      </c>
      <c r="W8">
        <v>1</v>
      </c>
      <c r="X8">
        <v>1</v>
      </c>
      <c r="Y8">
        <v>1</v>
      </c>
      <c r="Z8">
        <v>1</v>
      </c>
      <c r="AA8">
        <v>1</v>
      </c>
      <c r="AB8">
        <v>0.99980000000000002</v>
      </c>
      <c r="AC8">
        <v>0.99909999999999999</v>
      </c>
      <c r="AD8">
        <v>0.998</v>
      </c>
      <c r="AE8">
        <v>0.99639999999999995</v>
      </c>
      <c r="AF8">
        <v>0.99439999999999995</v>
      </c>
      <c r="AG8">
        <v>0.99199999999999999</v>
      </c>
      <c r="AH8">
        <v>0.98909999999999998</v>
      </c>
      <c r="AI8">
        <v>0.98570000000000002</v>
      </c>
      <c r="AJ8">
        <v>0.9819</v>
      </c>
      <c r="AK8">
        <v>0.97770000000000001</v>
      </c>
      <c r="AL8">
        <v>0.97299999999999998</v>
      </c>
      <c r="AM8">
        <v>0.96789999999999998</v>
      </c>
      <c r="AN8">
        <v>0.96230000000000004</v>
      </c>
      <c r="AO8">
        <v>0.95630000000000004</v>
      </c>
      <c r="AP8">
        <v>0.94989999999999997</v>
      </c>
      <c r="AQ8">
        <v>0.94289999999999996</v>
      </c>
      <c r="AR8">
        <v>0.93559999999999999</v>
      </c>
      <c r="AS8">
        <v>0.92779999999999996</v>
      </c>
      <c r="AT8">
        <v>0.91949999999999998</v>
      </c>
      <c r="AU8">
        <v>0.91090000000000004</v>
      </c>
      <c r="AV8">
        <v>0.90169999999999995</v>
      </c>
      <c r="AW8">
        <v>0.8921</v>
      </c>
      <c r="AX8">
        <v>0.88219999999999998</v>
      </c>
      <c r="AY8">
        <v>0.87229999999999996</v>
      </c>
      <c r="AZ8">
        <v>0.86229999999999996</v>
      </c>
      <c r="BA8">
        <v>0.85240000000000005</v>
      </c>
      <c r="BB8">
        <v>0.84250000000000003</v>
      </c>
      <c r="BC8">
        <v>0.83250000000000002</v>
      </c>
      <c r="BD8">
        <v>0.8226</v>
      </c>
      <c r="BE8">
        <v>0.81259999999999999</v>
      </c>
      <c r="BF8">
        <v>0.80269999999999997</v>
      </c>
      <c r="BG8">
        <v>0.79279999999999995</v>
      </c>
      <c r="BH8">
        <v>0.78280000000000005</v>
      </c>
      <c r="BI8">
        <v>0.77290000000000003</v>
      </c>
      <c r="BJ8">
        <v>0.76290000000000002</v>
      </c>
      <c r="BK8">
        <v>0.753</v>
      </c>
      <c r="BL8">
        <v>0.74309999999999998</v>
      </c>
      <c r="BM8">
        <v>0.73309999999999997</v>
      </c>
      <c r="BN8">
        <v>0.72319999999999995</v>
      </c>
      <c r="BO8">
        <v>0.71319999999999995</v>
      </c>
      <c r="BP8">
        <v>0.70330000000000004</v>
      </c>
      <c r="BQ8">
        <v>0.69340000000000002</v>
      </c>
      <c r="BR8">
        <v>0.68340000000000001</v>
      </c>
      <c r="BS8">
        <v>0.67349999999999999</v>
      </c>
      <c r="BT8">
        <v>0.66349999999999998</v>
      </c>
      <c r="BU8">
        <v>0.65359999999999996</v>
      </c>
      <c r="BV8">
        <v>0.64370000000000005</v>
      </c>
      <c r="BW8">
        <v>0.63370000000000004</v>
      </c>
      <c r="BX8">
        <v>0.62339999999999995</v>
      </c>
      <c r="BY8">
        <v>0.61229999999999996</v>
      </c>
      <c r="BZ8">
        <v>0.60050000000000003</v>
      </c>
      <c r="CA8">
        <v>0.58789999999999998</v>
      </c>
      <c r="CB8">
        <v>0.57450000000000001</v>
      </c>
      <c r="CC8">
        <v>0.56040000000000001</v>
      </c>
      <c r="CD8">
        <v>0.54549999999999998</v>
      </c>
      <c r="CE8">
        <v>0.52990000000000004</v>
      </c>
      <c r="CF8">
        <v>0.51349999999999996</v>
      </c>
      <c r="CG8">
        <v>0.49630000000000002</v>
      </c>
      <c r="CH8">
        <v>0.47839999999999999</v>
      </c>
      <c r="CI8">
        <v>0.4597</v>
      </c>
      <c r="CJ8">
        <v>0.44030000000000002</v>
      </c>
      <c r="CK8">
        <v>0.42009999999999997</v>
      </c>
      <c r="CL8">
        <v>0.39910000000000001</v>
      </c>
      <c r="CM8">
        <v>0.37740000000000001</v>
      </c>
      <c r="CN8">
        <v>0.35489999999999999</v>
      </c>
      <c r="CO8">
        <v>0.33169999999999999</v>
      </c>
      <c r="CP8">
        <v>0.30769999999999997</v>
      </c>
      <c r="CQ8">
        <v>0.28289999999999998</v>
      </c>
      <c r="CR8">
        <v>0.25740000000000002</v>
      </c>
      <c r="CS8">
        <v>0.2311</v>
      </c>
      <c r="CT8">
        <v>0.2041</v>
      </c>
      <c r="CU8">
        <v>0.17630000000000001</v>
      </c>
      <c r="CV8">
        <v>0.1477</v>
      </c>
    </row>
    <row r="9" spans="1:100">
      <c r="A9" t="s">
        <v>61</v>
      </c>
      <c r="B9" t="s">
        <v>18</v>
      </c>
      <c r="C9">
        <v>11.265408000000001</v>
      </c>
      <c r="D9">
        <v>1950</v>
      </c>
      <c r="E9">
        <v>0.67269999999999996</v>
      </c>
      <c r="F9">
        <v>0.70699999999999996</v>
      </c>
      <c r="G9">
        <v>0.73939999999999995</v>
      </c>
      <c r="H9">
        <v>0.76990000000000003</v>
      </c>
      <c r="I9">
        <v>0.79859999999999998</v>
      </c>
      <c r="J9">
        <v>0.82550000000000001</v>
      </c>
      <c r="K9">
        <v>0.85040000000000004</v>
      </c>
      <c r="L9">
        <v>0.87360000000000004</v>
      </c>
      <c r="M9">
        <v>0.89490000000000003</v>
      </c>
      <c r="N9">
        <v>0.9143</v>
      </c>
      <c r="O9">
        <v>0.93189999999999995</v>
      </c>
      <c r="P9">
        <v>0.94850000000000001</v>
      </c>
      <c r="Q9">
        <v>0.96509999999999996</v>
      </c>
      <c r="R9">
        <v>0.9798</v>
      </c>
      <c r="S9">
        <v>0.99039999999999995</v>
      </c>
      <c r="T9">
        <v>0.997</v>
      </c>
      <c r="U9">
        <v>0.99970000000000003</v>
      </c>
      <c r="V9">
        <v>1</v>
      </c>
      <c r="W9">
        <v>1</v>
      </c>
      <c r="X9">
        <v>1</v>
      </c>
      <c r="Y9">
        <v>1</v>
      </c>
      <c r="Z9">
        <v>1</v>
      </c>
      <c r="AA9">
        <v>1</v>
      </c>
      <c r="AB9">
        <v>0.99980000000000002</v>
      </c>
      <c r="AC9">
        <v>0.99909999999999999</v>
      </c>
      <c r="AD9">
        <v>0.998</v>
      </c>
      <c r="AE9">
        <v>0.99639999999999995</v>
      </c>
      <c r="AF9">
        <v>0.99439999999999995</v>
      </c>
      <c r="AG9">
        <v>0.9919</v>
      </c>
      <c r="AH9">
        <v>0.98899999999999999</v>
      </c>
      <c r="AI9">
        <v>0.98560000000000003</v>
      </c>
      <c r="AJ9">
        <v>0.98170000000000002</v>
      </c>
      <c r="AK9">
        <v>0.97750000000000004</v>
      </c>
      <c r="AL9">
        <v>0.97270000000000001</v>
      </c>
      <c r="AM9">
        <v>0.96760000000000002</v>
      </c>
      <c r="AN9">
        <v>0.96189999999999998</v>
      </c>
      <c r="AO9">
        <v>0.95589999999999997</v>
      </c>
      <c r="AP9">
        <v>0.94940000000000002</v>
      </c>
      <c r="AQ9">
        <v>0.94240000000000002</v>
      </c>
      <c r="AR9">
        <v>0.93500000000000005</v>
      </c>
      <c r="AS9">
        <v>0.92710000000000004</v>
      </c>
      <c r="AT9">
        <v>0.91869999999999996</v>
      </c>
      <c r="AU9">
        <v>0.91</v>
      </c>
      <c r="AV9">
        <v>0.90080000000000005</v>
      </c>
      <c r="AW9">
        <v>0.8911</v>
      </c>
      <c r="AX9">
        <v>0.88109999999999999</v>
      </c>
      <c r="AY9">
        <v>0.87109999999999999</v>
      </c>
      <c r="AZ9">
        <v>0.86109999999999998</v>
      </c>
      <c r="BA9">
        <v>0.85109999999999997</v>
      </c>
      <c r="BB9">
        <v>0.84109999999999996</v>
      </c>
      <c r="BC9">
        <v>0.83109999999999995</v>
      </c>
      <c r="BD9">
        <v>0.82110000000000005</v>
      </c>
      <c r="BE9">
        <v>0.81100000000000005</v>
      </c>
      <c r="BF9">
        <v>0.80110000000000003</v>
      </c>
      <c r="BG9">
        <v>0.79110000000000003</v>
      </c>
      <c r="BH9">
        <v>0.78100000000000003</v>
      </c>
      <c r="BI9">
        <v>0.77110000000000001</v>
      </c>
      <c r="BJ9">
        <v>0.76100000000000001</v>
      </c>
      <c r="BK9">
        <v>0.751</v>
      </c>
      <c r="BL9">
        <v>0.74109999999999998</v>
      </c>
      <c r="BM9">
        <v>0.73099999999999998</v>
      </c>
      <c r="BN9">
        <v>0.72099999999999997</v>
      </c>
      <c r="BO9">
        <v>0.71099999999999997</v>
      </c>
      <c r="BP9">
        <v>0.70099999999999996</v>
      </c>
      <c r="BQ9">
        <v>0.69099999999999995</v>
      </c>
      <c r="BR9">
        <v>0.68100000000000005</v>
      </c>
      <c r="BS9">
        <v>0.67100000000000004</v>
      </c>
      <c r="BT9">
        <v>0.66100000000000003</v>
      </c>
      <c r="BU9">
        <v>0.65100000000000002</v>
      </c>
      <c r="BV9">
        <v>0.64100000000000001</v>
      </c>
      <c r="BW9">
        <v>0.63100000000000001</v>
      </c>
      <c r="BX9">
        <v>0.62060000000000004</v>
      </c>
      <c r="BY9">
        <v>0.60950000000000004</v>
      </c>
      <c r="BZ9">
        <v>0.59760000000000002</v>
      </c>
      <c r="CA9">
        <v>0.58489999999999998</v>
      </c>
      <c r="CB9">
        <v>0.57150000000000001</v>
      </c>
      <c r="CC9">
        <v>0.55730000000000002</v>
      </c>
      <c r="CD9">
        <v>0.5423</v>
      </c>
      <c r="CE9">
        <v>0.52659999999999996</v>
      </c>
      <c r="CF9">
        <v>0.5101</v>
      </c>
      <c r="CG9">
        <v>0.49280000000000002</v>
      </c>
      <c r="CH9">
        <v>0.4748</v>
      </c>
      <c r="CI9">
        <v>0.45590000000000003</v>
      </c>
      <c r="CJ9">
        <v>0.43640000000000001</v>
      </c>
      <c r="CK9">
        <v>0.41610000000000003</v>
      </c>
      <c r="CL9">
        <v>0.39500000000000002</v>
      </c>
      <c r="CM9">
        <v>0.37309999999999999</v>
      </c>
      <c r="CN9">
        <v>0.35039999999999999</v>
      </c>
      <c r="CO9">
        <v>0.3271</v>
      </c>
      <c r="CP9">
        <v>0.3029</v>
      </c>
      <c r="CQ9">
        <v>0.27800000000000002</v>
      </c>
      <c r="CR9">
        <v>0.25230000000000002</v>
      </c>
      <c r="CS9">
        <v>0.2258</v>
      </c>
      <c r="CT9">
        <v>0.1986</v>
      </c>
      <c r="CU9">
        <v>0.1706</v>
      </c>
      <c r="CV9">
        <v>0.14180000000000001</v>
      </c>
    </row>
    <row r="10" spans="1:100">
      <c r="A10" t="s">
        <v>60</v>
      </c>
      <c r="B10" t="s">
        <v>20</v>
      </c>
      <c r="C10">
        <v>12</v>
      </c>
      <c r="D10">
        <v>2084</v>
      </c>
      <c r="E10">
        <v>0.66620000000000001</v>
      </c>
      <c r="F10">
        <v>0.70099999999999996</v>
      </c>
      <c r="G10">
        <v>0.7339</v>
      </c>
      <c r="H10">
        <v>0.76490000000000002</v>
      </c>
      <c r="I10">
        <v>0.79400000000000004</v>
      </c>
      <c r="J10">
        <v>0.82140000000000002</v>
      </c>
      <c r="K10">
        <v>0.84670000000000001</v>
      </c>
      <c r="L10">
        <v>0.87029999999999996</v>
      </c>
      <c r="M10">
        <v>0.89200000000000002</v>
      </c>
      <c r="N10">
        <v>0.91169999999999995</v>
      </c>
      <c r="O10">
        <v>0.92969999999999997</v>
      </c>
      <c r="P10">
        <v>0.9466</v>
      </c>
      <c r="Q10">
        <v>0.96360000000000001</v>
      </c>
      <c r="R10">
        <v>0.97860000000000003</v>
      </c>
      <c r="S10">
        <v>0.98960000000000004</v>
      </c>
      <c r="T10">
        <v>0.99650000000000005</v>
      </c>
      <c r="U10">
        <v>0.99950000000000006</v>
      </c>
      <c r="V10">
        <v>1</v>
      </c>
      <c r="W10">
        <v>1</v>
      </c>
      <c r="X10">
        <v>1</v>
      </c>
      <c r="Y10">
        <v>1</v>
      </c>
      <c r="Z10">
        <v>1</v>
      </c>
      <c r="AA10">
        <v>1</v>
      </c>
      <c r="AB10">
        <v>0.99980000000000002</v>
      </c>
      <c r="AC10">
        <v>0.99909999999999999</v>
      </c>
      <c r="AD10">
        <v>0.998</v>
      </c>
      <c r="AE10">
        <v>0.99639999999999995</v>
      </c>
      <c r="AF10">
        <v>0.99429999999999996</v>
      </c>
      <c r="AG10">
        <v>0.9919</v>
      </c>
      <c r="AH10">
        <v>0.9889</v>
      </c>
      <c r="AI10">
        <v>0.98550000000000004</v>
      </c>
      <c r="AJ10">
        <v>0.98170000000000002</v>
      </c>
      <c r="AK10">
        <v>0.97740000000000005</v>
      </c>
      <c r="AL10">
        <v>0.97260000000000002</v>
      </c>
      <c r="AM10">
        <v>0.96740000000000004</v>
      </c>
      <c r="AN10">
        <v>0.96179999999999999</v>
      </c>
      <c r="AO10">
        <v>0.95569999999999999</v>
      </c>
      <c r="AP10">
        <v>0.94910000000000005</v>
      </c>
      <c r="AQ10">
        <v>0.94210000000000005</v>
      </c>
      <c r="AR10">
        <v>0.93459999999999999</v>
      </c>
      <c r="AS10">
        <v>0.92669999999999997</v>
      </c>
      <c r="AT10">
        <v>0.91830000000000001</v>
      </c>
      <c r="AU10">
        <v>0.90959999999999996</v>
      </c>
      <c r="AV10">
        <v>0.90029999999999999</v>
      </c>
      <c r="AW10">
        <v>0.89049999999999996</v>
      </c>
      <c r="AX10">
        <v>0.88049999999999995</v>
      </c>
      <c r="AY10">
        <v>0.87050000000000005</v>
      </c>
      <c r="AZ10">
        <v>0.86040000000000005</v>
      </c>
      <c r="BA10">
        <v>0.85040000000000004</v>
      </c>
      <c r="BB10">
        <v>0.84040000000000004</v>
      </c>
      <c r="BC10">
        <v>0.83030000000000004</v>
      </c>
      <c r="BD10">
        <v>0.82030000000000003</v>
      </c>
      <c r="BE10">
        <v>0.81020000000000003</v>
      </c>
      <c r="BF10">
        <v>0.80020000000000002</v>
      </c>
      <c r="BG10">
        <v>0.79020000000000001</v>
      </c>
      <c r="BH10">
        <v>0.78010000000000002</v>
      </c>
      <c r="BI10">
        <v>0.77010000000000001</v>
      </c>
      <c r="BJ10">
        <v>0.76</v>
      </c>
      <c r="BK10">
        <v>0.75</v>
      </c>
      <c r="BL10">
        <v>0.74</v>
      </c>
      <c r="BM10">
        <v>0.72989999999999999</v>
      </c>
      <c r="BN10">
        <v>0.71989999999999998</v>
      </c>
      <c r="BO10">
        <v>0.70979999999999999</v>
      </c>
      <c r="BP10">
        <v>0.69979999999999998</v>
      </c>
      <c r="BQ10">
        <v>0.68979999999999997</v>
      </c>
      <c r="BR10">
        <v>0.67969999999999997</v>
      </c>
      <c r="BS10">
        <v>0.66969999999999996</v>
      </c>
      <c r="BT10">
        <v>0.65959999999999996</v>
      </c>
      <c r="BU10">
        <v>0.64959999999999996</v>
      </c>
      <c r="BV10">
        <v>0.63959999999999995</v>
      </c>
      <c r="BW10">
        <v>0.62949999999999995</v>
      </c>
      <c r="BX10">
        <v>0.61909999999999998</v>
      </c>
      <c r="BY10">
        <v>0.60799999999999998</v>
      </c>
      <c r="BZ10">
        <v>0.59599999999999997</v>
      </c>
      <c r="CA10">
        <v>0.58330000000000004</v>
      </c>
      <c r="CB10">
        <v>0.56979999999999997</v>
      </c>
      <c r="CC10">
        <v>0.55559999999999998</v>
      </c>
      <c r="CD10">
        <v>0.54059999999999997</v>
      </c>
      <c r="CE10">
        <v>0.52480000000000004</v>
      </c>
      <c r="CF10">
        <v>0.50829999999999997</v>
      </c>
      <c r="CG10">
        <v>0.4909</v>
      </c>
      <c r="CH10">
        <v>0.4728</v>
      </c>
      <c r="CI10">
        <v>0.45400000000000001</v>
      </c>
      <c r="CJ10">
        <v>0.43430000000000002</v>
      </c>
      <c r="CK10">
        <v>0.41389999999999999</v>
      </c>
      <c r="CL10">
        <v>0.39279999999999998</v>
      </c>
      <c r="CM10">
        <v>0.37080000000000002</v>
      </c>
      <c r="CN10">
        <v>0.34810000000000002</v>
      </c>
      <c r="CO10">
        <v>0.3246</v>
      </c>
      <c r="CP10">
        <v>0.3004</v>
      </c>
      <c r="CQ10">
        <v>0.27529999999999999</v>
      </c>
      <c r="CR10">
        <v>0.24959999999999999</v>
      </c>
      <c r="CS10">
        <v>0.223</v>
      </c>
      <c r="CT10">
        <v>0.19570000000000001</v>
      </c>
      <c r="CU10">
        <v>0.1676</v>
      </c>
      <c r="CV10">
        <v>0.13869999999999999</v>
      </c>
    </row>
    <row r="11" spans="1:100">
      <c r="A11" t="s">
        <v>59</v>
      </c>
      <c r="B11" t="s">
        <v>22</v>
      </c>
      <c r="C11">
        <v>15</v>
      </c>
      <c r="D11">
        <v>2629</v>
      </c>
      <c r="E11">
        <v>0.64319999999999999</v>
      </c>
      <c r="F11">
        <v>0.67979999999999996</v>
      </c>
      <c r="G11">
        <v>0.71440000000000003</v>
      </c>
      <c r="H11">
        <v>0.74709999999999999</v>
      </c>
      <c r="I11">
        <v>0.77790000000000004</v>
      </c>
      <c r="J11">
        <v>0.80679999999999996</v>
      </c>
      <c r="K11">
        <v>0.8337</v>
      </c>
      <c r="L11">
        <v>0.85860000000000003</v>
      </c>
      <c r="M11">
        <v>0.88170000000000004</v>
      </c>
      <c r="N11">
        <v>0.90280000000000005</v>
      </c>
      <c r="O11">
        <v>0.92190000000000005</v>
      </c>
      <c r="P11">
        <v>0.94010000000000005</v>
      </c>
      <c r="Q11">
        <v>0.95820000000000005</v>
      </c>
      <c r="R11">
        <v>0.97440000000000004</v>
      </c>
      <c r="S11">
        <v>0.98660000000000003</v>
      </c>
      <c r="T11">
        <v>0.99470000000000003</v>
      </c>
      <c r="U11">
        <v>0.99890000000000001</v>
      </c>
      <c r="V11">
        <v>1</v>
      </c>
      <c r="W11">
        <v>1</v>
      </c>
      <c r="X11">
        <v>1</v>
      </c>
      <c r="Y11">
        <v>1</v>
      </c>
      <c r="Z11">
        <v>1</v>
      </c>
      <c r="AA11">
        <v>1</v>
      </c>
      <c r="AB11">
        <v>0.99980000000000002</v>
      </c>
      <c r="AC11">
        <v>0.99909999999999999</v>
      </c>
      <c r="AD11">
        <v>0.99790000000000001</v>
      </c>
      <c r="AE11">
        <v>0.99629999999999996</v>
      </c>
      <c r="AF11">
        <v>0.99419999999999997</v>
      </c>
      <c r="AG11">
        <v>0.99170000000000003</v>
      </c>
      <c r="AH11">
        <v>0.98870000000000002</v>
      </c>
      <c r="AI11">
        <v>0.98529999999999995</v>
      </c>
      <c r="AJ11">
        <v>0.98140000000000005</v>
      </c>
      <c r="AK11">
        <v>0.97699999999999998</v>
      </c>
      <c r="AL11">
        <v>0.97209999999999996</v>
      </c>
      <c r="AM11">
        <v>0.96689999999999998</v>
      </c>
      <c r="AN11">
        <v>0.96109999999999995</v>
      </c>
      <c r="AO11">
        <v>0.95489999999999997</v>
      </c>
      <c r="AP11">
        <v>0.94820000000000004</v>
      </c>
      <c r="AQ11">
        <v>0.94110000000000005</v>
      </c>
      <c r="AR11">
        <v>0.9335</v>
      </c>
      <c r="AS11">
        <v>0.9254</v>
      </c>
      <c r="AT11">
        <v>0.91690000000000005</v>
      </c>
      <c r="AU11">
        <v>0.90800000000000003</v>
      </c>
      <c r="AV11">
        <v>0.89849999999999997</v>
      </c>
      <c r="AW11">
        <v>0.88859999999999995</v>
      </c>
      <c r="AX11">
        <v>0.87849999999999995</v>
      </c>
      <c r="AY11">
        <v>0.86829999999999996</v>
      </c>
      <c r="AZ11">
        <v>0.85809999999999997</v>
      </c>
      <c r="BA11">
        <v>0.84789999999999999</v>
      </c>
      <c r="BB11">
        <v>0.83779999999999999</v>
      </c>
      <c r="BC11">
        <v>0.8276</v>
      </c>
      <c r="BD11">
        <v>0.8175</v>
      </c>
      <c r="BE11">
        <v>0.80730000000000002</v>
      </c>
      <c r="BF11">
        <v>0.79720000000000002</v>
      </c>
      <c r="BG11">
        <v>0.78700000000000003</v>
      </c>
      <c r="BH11">
        <v>0.77680000000000005</v>
      </c>
      <c r="BI11">
        <v>0.76670000000000005</v>
      </c>
      <c r="BJ11">
        <v>0.75649999999999995</v>
      </c>
      <c r="BK11">
        <v>0.74629999999999996</v>
      </c>
      <c r="BL11">
        <v>0.73619999999999997</v>
      </c>
      <c r="BM11">
        <v>0.72599999999999998</v>
      </c>
      <c r="BN11">
        <v>0.71589999999999998</v>
      </c>
      <c r="BO11">
        <v>0.70569999999999999</v>
      </c>
      <c r="BP11">
        <v>0.69550000000000001</v>
      </c>
      <c r="BQ11">
        <v>0.68540000000000001</v>
      </c>
      <c r="BR11">
        <v>0.67520000000000002</v>
      </c>
      <c r="BS11">
        <v>0.66500000000000004</v>
      </c>
      <c r="BT11">
        <v>0.65490000000000004</v>
      </c>
      <c r="BU11">
        <v>0.64470000000000005</v>
      </c>
      <c r="BV11">
        <v>0.63460000000000005</v>
      </c>
      <c r="BW11">
        <v>0.62439999999999996</v>
      </c>
      <c r="BX11">
        <v>0.6139</v>
      </c>
      <c r="BY11">
        <v>0.60260000000000002</v>
      </c>
      <c r="BZ11">
        <v>0.59060000000000001</v>
      </c>
      <c r="CA11">
        <v>0.57769999999999999</v>
      </c>
      <c r="CB11">
        <v>0.56410000000000005</v>
      </c>
      <c r="CC11">
        <v>0.54969999999999997</v>
      </c>
      <c r="CD11">
        <v>0.53449999999999998</v>
      </c>
      <c r="CE11">
        <v>0.51859999999999995</v>
      </c>
      <c r="CF11">
        <v>0.50190000000000001</v>
      </c>
      <c r="CG11">
        <v>0.48430000000000001</v>
      </c>
      <c r="CH11">
        <v>0.46600000000000003</v>
      </c>
      <c r="CI11">
        <v>0.44690000000000002</v>
      </c>
      <c r="CJ11">
        <v>0.42699999999999999</v>
      </c>
      <c r="CK11">
        <v>0.40639999999999998</v>
      </c>
      <c r="CL11">
        <v>0.38500000000000001</v>
      </c>
      <c r="CM11">
        <v>0.36270000000000002</v>
      </c>
      <c r="CN11">
        <v>0.3397</v>
      </c>
      <c r="CO11">
        <v>0.316</v>
      </c>
      <c r="CP11">
        <v>0.29149999999999998</v>
      </c>
      <c r="CQ11">
        <v>0.2661</v>
      </c>
      <c r="CR11">
        <v>0.24</v>
      </c>
      <c r="CS11">
        <v>0.21310000000000001</v>
      </c>
      <c r="CT11">
        <v>0.18540000000000001</v>
      </c>
      <c r="CU11">
        <v>0.15690000000000001</v>
      </c>
      <c r="CV11">
        <v>0.12770000000000001</v>
      </c>
    </row>
    <row r="12" spans="1:100">
      <c r="A12" t="s">
        <v>58</v>
      </c>
      <c r="B12" t="s">
        <v>24</v>
      </c>
      <c r="C12">
        <v>16.093440000000001</v>
      </c>
      <c r="D12">
        <v>2832</v>
      </c>
      <c r="E12">
        <v>0.63590000000000002</v>
      </c>
      <c r="F12">
        <v>0.67310000000000003</v>
      </c>
      <c r="G12">
        <v>0.70830000000000004</v>
      </c>
      <c r="H12">
        <v>0.74150000000000005</v>
      </c>
      <c r="I12">
        <v>0.77280000000000004</v>
      </c>
      <c r="J12">
        <v>0.80220000000000002</v>
      </c>
      <c r="K12">
        <v>0.82950000000000002</v>
      </c>
      <c r="L12">
        <v>0.85489999999999999</v>
      </c>
      <c r="M12">
        <v>0.87839999999999996</v>
      </c>
      <c r="N12">
        <v>0.89990000000000003</v>
      </c>
      <c r="O12">
        <v>0.9194</v>
      </c>
      <c r="P12">
        <v>0.93799999999999994</v>
      </c>
      <c r="Q12">
        <v>0.95650000000000002</v>
      </c>
      <c r="R12">
        <v>0.97309999999999997</v>
      </c>
      <c r="S12">
        <v>0.98560000000000003</v>
      </c>
      <c r="T12">
        <v>0.99419999999999997</v>
      </c>
      <c r="U12">
        <v>0.99870000000000003</v>
      </c>
      <c r="V12">
        <v>1</v>
      </c>
      <c r="W12">
        <v>1</v>
      </c>
      <c r="X12">
        <v>1</v>
      </c>
      <c r="Y12">
        <v>1</v>
      </c>
      <c r="Z12">
        <v>1</v>
      </c>
      <c r="AA12">
        <v>1</v>
      </c>
      <c r="AB12">
        <v>0.99980000000000002</v>
      </c>
      <c r="AC12">
        <v>0.99909999999999999</v>
      </c>
      <c r="AD12">
        <v>0.99790000000000001</v>
      </c>
      <c r="AE12">
        <v>0.99629999999999996</v>
      </c>
      <c r="AF12">
        <v>0.99419999999999997</v>
      </c>
      <c r="AG12">
        <v>0.99170000000000003</v>
      </c>
      <c r="AH12">
        <v>0.98870000000000002</v>
      </c>
      <c r="AI12">
        <v>0.98519999999999996</v>
      </c>
      <c r="AJ12">
        <v>0.98129999999999995</v>
      </c>
      <c r="AK12">
        <v>0.97689999999999999</v>
      </c>
      <c r="AL12">
        <v>0.97199999999999998</v>
      </c>
      <c r="AM12">
        <v>0.9667</v>
      </c>
      <c r="AN12">
        <v>0.96089999999999998</v>
      </c>
      <c r="AO12">
        <v>0.9546</v>
      </c>
      <c r="AP12">
        <v>0.94789999999999996</v>
      </c>
      <c r="AQ12">
        <v>0.94069999999999998</v>
      </c>
      <c r="AR12">
        <v>0.93310000000000004</v>
      </c>
      <c r="AS12">
        <v>0.92500000000000004</v>
      </c>
      <c r="AT12">
        <v>0.91639999999999999</v>
      </c>
      <c r="AU12">
        <v>0.90749999999999997</v>
      </c>
      <c r="AV12">
        <v>0.89790000000000003</v>
      </c>
      <c r="AW12">
        <v>0.88800000000000001</v>
      </c>
      <c r="AX12">
        <v>0.87780000000000002</v>
      </c>
      <c r="AY12">
        <v>0.86760000000000004</v>
      </c>
      <c r="AZ12">
        <v>0.85740000000000005</v>
      </c>
      <c r="BA12">
        <v>0.84719999999999995</v>
      </c>
      <c r="BB12">
        <v>0.83699999999999997</v>
      </c>
      <c r="BC12">
        <v>0.82679999999999998</v>
      </c>
      <c r="BD12">
        <v>0.81659999999999999</v>
      </c>
      <c r="BE12">
        <v>0.80640000000000001</v>
      </c>
      <c r="BF12">
        <v>0.79620000000000002</v>
      </c>
      <c r="BG12">
        <v>0.78600000000000003</v>
      </c>
      <c r="BH12">
        <v>0.77580000000000005</v>
      </c>
      <c r="BI12">
        <v>0.76559999999999995</v>
      </c>
      <c r="BJ12">
        <v>0.75539999999999996</v>
      </c>
      <c r="BK12">
        <v>0.74519999999999997</v>
      </c>
      <c r="BL12">
        <v>0.73499999999999999</v>
      </c>
      <c r="BM12">
        <v>0.7248</v>
      </c>
      <c r="BN12">
        <v>0.71460000000000001</v>
      </c>
      <c r="BO12">
        <v>0.70430000000000004</v>
      </c>
      <c r="BP12">
        <v>0.69420000000000004</v>
      </c>
      <c r="BQ12">
        <v>0.68400000000000005</v>
      </c>
      <c r="BR12">
        <v>0.67379999999999995</v>
      </c>
      <c r="BS12">
        <v>0.66359999999999997</v>
      </c>
      <c r="BT12">
        <v>0.65339999999999998</v>
      </c>
      <c r="BU12">
        <v>0.6431</v>
      </c>
      <c r="BV12">
        <v>0.63300000000000001</v>
      </c>
      <c r="BW12">
        <v>0.62270000000000003</v>
      </c>
      <c r="BX12">
        <v>0.61219999999999997</v>
      </c>
      <c r="BY12">
        <v>0.60099999999999998</v>
      </c>
      <c r="BZ12">
        <v>0.58879999999999999</v>
      </c>
      <c r="CA12">
        <v>0.57599999999999996</v>
      </c>
      <c r="CB12">
        <v>0.56230000000000002</v>
      </c>
      <c r="CC12">
        <v>0.54779999999999995</v>
      </c>
      <c r="CD12">
        <v>0.53259999999999996</v>
      </c>
      <c r="CE12">
        <v>0.51659999999999995</v>
      </c>
      <c r="CF12">
        <v>0.49990000000000001</v>
      </c>
      <c r="CG12">
        <v>0.48220000000000002</v>
      </c>
      <c r="CH12">
        <v>0.46389999999999998</v>
      </c>
      <c r="CI12">
        <v>0.44469999999999998</v>
      </c>
      <c r="CJ12">
        <v>0.42470000000000002</v>
      </c>
      <c r="CK12">
        <v>0.40400000000000003</v>
      </c>
      <c r="CL12">
        <v>0.38250000000000001</v>
      </c>
      <c r="CM12">
        <v>0.36020000000000002</v>
      </c>
      <c r="CN12">
        <v>0.33710000000000001</v>
      </c>
      <c r="CO12">
        <v>0.31330000000000002</v>
      </c>
      <c r="CP12">
        <v>0.28860000000000002</v>
      </c>
      <c r="CQ12">
        <v>0.2631</v>
      </c>
      <c r="CR12">
        <v>0.2369</v>
      </c>
      <c r="CS12">
        <v>0.2099</v>
      </c>
      <c r="CT12">
        <v>0.18210000000000001</v>
      </c>
      <c r="CU12">
        <v>0.1535</v>
      </c>
      <c r="CV12">
        <v>0.1242</v>
      </c>
    </row>
    <row r="13" spans="1:100">
      <c r="A13" t="s">
        <v>57</v>
      </c>
      <c r="B13" t="s">
        <v>26</v>
      </c>
      <c r="C13">
        <v>20</v>
      </c>
      <c r="D13">
        <v>3557</v>
      </c>
      <c r="E13">
        <v>0.61350000000000005</v>
      </c>
      <c r="F13">
        <v>0.65249999999999997</v>
      </c>
      <c r="G13">
        <v>0.68940000000000001</v>
      </c>
      <c r="H13">
        <v>0.72430000000000005</v>
      </c>
      <c r="I13">
        <v>0.75719999999999998</v>
      </c>
      <c r="J13">
        <v>0.78800000000000003</v>
      </c>
      <c r="K13">
        <v>0.81679999999999997</v>
      </c>
      <c r="L13">
        <v>0.84360000000000002</v>
      </c>
      <c r="M13">
        <v>0.86839999999999995</v>
      </c>
      <c r="N13">
        <v>0.89119999999999999</v>
      </c>
      <c r="O13">
        <v>0.91190000000000004</v>
      </c>
      <c r="P13">
        <v>0.93159999999999998</v>
      </c>
      <c r="Q13">
        <v>0.95130000000000003</v>
      </c>
      <c r="R13">
        <v>0.96899999999999997</v>
      </c>
      <c r="S13">
        <v>0.98270000000000002</v>
      </c>
      <c r="T13">
        <v>0.99239999999999995</v>
      </c>
      <c r="U13">
        <v>0.99809999999999999</v>
      </c>
      <c r="V13">
        <v>1</v>
      </c>
      <c r="W13">
        <v>1</v>
      </c>
      <c r="X13">
        <v>1</v>
      </c>
      <c r="Y13">
        <v>1</v>
      </c>
      <c r="Z13">
        <v>1</v>
      </c>
      <c r="AA13">
        <v>1</v>
      </c>
      <c r="AB13">
        <v>0.99980000000000002</v>
      </c>
      <c r="AC13">
        <v>0.99909999999999999</v>
      </c>
      <c r="AD13">
        <v>0.99790000000000001</v>
      </c>
      <c r="AE13">
        <v>0.99619999999999997</v>
      </c>
      <c r="AF13">
        <v>0.99409999999999998</v>
      </c>
      <c r="AG13">
        <v>0.99150000000000005</v>
      </c>
      <c r="AH13">
        <v>0.98850000000000005</v>
      </c>
      <c r="AI13">
        <v>0.98499999999999999</v>
      </c>
      <c r="AJ13">
        <v>0.98099999999999998</v>
      </c>
      <c r="AK13">
        <v>0.97650000000000003</v>
      </c>
      <c r="AL13">
        <v>0.97150000000000003</v>
      </c>
      <c r="AM13">
        <v>0.96609999999999996</v>
      </c>
      <c r="AN13">
        <v>0.96030000000000004</v>
      </c>
      <c r="AO13">
        <v>0.95389999999999997</v>
      </c>
      <c r="AP13">
        <v>0.94699999999999995</v>
      </c>
      <c r="AQ13">
        <v>0.93969999999999998</v>
      </c>
      <c r="AR13">
        <v>0.93200000000000005</v>
      </c>
      <c r="AS13">
        <v>0.92369999999999997</v>
      </c>
      <c r="AT13">
        <v>0.91500000000000004</v>
      </c>
      <c r="AU13">
        <v>0.90590000000000004</v>
      </c>
      <c r="AV13">
        <v>0.8962</v>
      </c>
      <c r="AW13">
        <v>0.8861</v>
      </c>
      <c r="AX13">
        <v>0.87580000000000002</v>
      </c>
      <c r="AY13">
        <v>0.86539999999999995</v>
      </c>
      <c r="AZ13">
        <v>0.85519999999999996</v>
      </c>
      <c r="BA13">
        <v>0.8448</v>
      </c>
      <c r="BB13">
        <v>0.83450000000000002</v>
      </c>
      <c r="BC13">
        <v>0.82410000000000005</v>
      </c>
      <c r="BD13">
        <v>0.81389999999999996</v>
      </c>
      <c r="BE13">
        <v>0.80349999999999999</v>
      </c>
      <c r="BF13">
        <v>0.79320000000000002</v>
      </c>
      <c r="BG13">
        <v>0.78290000000000004</v>
      </c>
      <c r="BH13">
        <v>0.77259999999999995</v>
      </c>
      <c r="BI13">
        <v>0.76219999999999999</v>
      </c>
      <c r="BJ13">
        <v>0.75190000000000001</v>
      </c>
      <c r="BK13">
        <v>0.74160000000000004</v>
      </c>
      <c r="BL13">
        <v>0.73129999999999995</v>
      </c>
      <c r="BM13">
        <v>0.72089999999999999</v>
      </c>
      <c r="BN13">
        <v>0.7107</v>
      </c>
      <c r="BO13">
        <v>0.70030000000000003</v>
      </c>
      <c r="BP13">
        <v>0.69</v>
      </c>
      <c r="BQ13">
        <v>0.67969999999999997</v>
      </c>
      <c r="BR13">
        <v>0.6694</v>
      </c>
      <c r="BS13">
        <v>0.65900000000000003</v>
      </c>
      <c r="BT13">
        <v>0.64870000000000005</v>
      </c>
      <c r="BU13">
        <v>0.63839999999999997</v>
      </c>
      <c r="BV13">
        <v>0.62809999999999999</v>
      </c>
      <c r="BW13">
        <v>0.61770000000000003</v>
      </c>
      <c r="BX13">
        <v>0.60719999999999996</v>
      </c>
      <c r="BY13">
        <v>0.5958</v>
      </c>
      <c r="BZ13">
        <v>0.58350000000000002</v>
      </c>
      <c r="CA13">
        <v>0.57050000000000001</v>
      </c>
      <c r="CB13">
        <v>0.55679999999999996</v>
      </c>
      <c r="CC13">
        <v>0.54210000000000003</v>
      </c>
      <c r="CD13">
        <v>0.52669999999999995</v>
      </c>
      <c r="CE13">
        <v>0.51060000000000005</v>
      </c>
      <c r="CF13">
        <v>0.49359999999999998</v>
      </c>
      <c r="CG13">
        <v>0.4758</v>
      </c>
      <c r="CH13">
        <v>0.4572</v>
      </c>
      <c r="CI13">
        <v>0.43790000000000001</v>
      </c>
      <c r="CJ13">
        <v>0.41760000000000003</v>
      </c>
      <c r="CK13">
        <v>0.3967</v>
      </c>
      <c r="CL13">
        <v>0.375</v>
      </c>
      <c r="CM13">
        <v>0.3523</v>
      </c>
      <c r="CN13">
        <v>0.32900000000000001</v>
      </c>
      <c r="CO13">
        <v>0.3049</v>
      </c>
      <c r="CP13">
        <v>0.27989999999999998</v>
      </c>
      <c r="CQ13">
        <v>0.25409999999999999</v>
      </c>
      <c r="CR13">
        <v>0.2276</v>
      </c>
      <c r="CS13">
        <v>0.20030000000000001</v>
      </c>
      <c r="CT13">
        <v>0.1721</v>
      </c>
      <c r="CU13">
        <v>0.14319999999999999</v>
      </c>
      <c r="CV13">
        <v>0.1134</v>
      </c>
    </row>
    <row r="14" spans="1:100">
      <c r="A14" t="s">
        <v>56</v>
      </c>
      <c r="B14" t="s">
        <v>28</v>
      </c>
      <c r="C14">
        <v>21.0975</v>
      </c>
      <c r="D14">
        <v>3772</v>
      </c>
      <c r="E14">
        <v>0.60799999999999998</v>
      </c>
      <c r="F14">
        <v>0.64739999999999998</v>
      </c>
      <c r="G14">
        <v>0.68469999999999998</v>
      </c>
      <c r="H14">
        <v>0.72</v>
      </c>
      <c r="I14">
        <v>0.75329999999999997</v>
      </c>
      <c r="J14">
        <v>0.78449999999999998</v>
      </c>
      <c r="K14">
        <v>0.81369999999999998</v>
      </c>
      <c r="L14">
        <v>0.84079999999999999</v>
      </c>
      <c r="M14">
        <v>0.8659</v>
      </c>
      <c r="N14">
        <v>0.88900000000000001</v>
      </c>
      <c r="O14">
        <v>0.91</v>
      </c>
      <c r="P14">
        <v>0.93</v>
      </c>
      <c r="Q14">
        <v>0.95</v>
      </c>
      <c r="R14">
        <v>0.96799999999999997</v>
      </c>
      <c r="S14">
        <v>0.98199999999999998</v>
      </c>
      <c r="T14">
        <v>0.99199999999999999</v>
      </c>
      <c r="U14">
        <v>0.998</v>
      </c>
      <c r="V14">
        <v>1</v>
      </c>
      <c r="W14">
        <v>1</v>
      </c>
      <c r="X14">
        <v>1</v>
      </c>
      <c r="Y14">
        <v>1</v>
      </c>
      <c r="Z14">
        <v>1</v>
      </c>
      <c r="AA14">
        <v>1</v>
      </c>
      <c r="AB14">
        <v>0.99980000000000002</v>
      </c>
      <c r="AC14">
        <v>0.99909999999999999</v>
      </c>
      <c r="AD14">
        <v>0.99790000000000001</v>
      </c>
      <c r="AE14">
        <v>0.99619999999999997</v>
      </c>
      <c r="AF14">
        <v>0.99409999999999998</v>
      </c>
      <c r="AG14">
        <v>0.99150000000000005</v>
      </c>
      <c r="AH14">
        <v>0.98839999999999995</v>
      </c>
      <c r="AI14">
        <v>0.9849</v>
      </c>
      <c r="AJ14">
        <v>0.98089999999999999</v>
      </c>
      <c r="AK14">
        <v>0.97640000000000005</v>
      </c>
      <c r="AL14">
        <v>0.97140000000000004</v>
      </c>
      <c r="AM14">
        <v>0.96599999999999997</v>
      </c>
      <c r="AN14">
        <v>0.96009999999999995</v>
      </c>
      <c r="AO14">
        <v>0.95369999999999999</v>
      </c>
      <c r="AP14">
        <v>0.94679999999999997</v>
      </c>
      <c r="AQ14">
        <v>0.9395</v>
      </c>
      <c r="AR14">
        <v>0.93169999999999997</v>
      </c>
      <c r="AS14">
        <v>0.9234</v>
      </c>
      <c r="AT14">
        <v>0.91469999999999996</v>
      </c>
      <c r="AU14">
        <v>0.90549999999999997</v>
      </c>
      <c r="AV14">
        <v>0.89580000000000004</v>
      </c>
      <c r="AW14">
        <v>0.88560000000000005</v>
      </c>
      <c r="AX14">
        <v>0.87529999999999997</v>
      </c>
      <c r="AY14">
        <v>0.8649</v>
      </c>
      <c r="AZ14">
        <v>0.85460000000000003</v>
      </c>
      <c r="BA14">
        <v>0.84419999999999995</v>
      </c>
      <c r="BB14">
        <v>0.83389999999999997</v>
      </c>
      <c r="BC14">
        <v>0.82350000000000001</v>
      </c>
      <c r="BD14">
        <v>0.81320000000000003</v>
      </c>
      <c r="BE14">
        <v>0.80279999999999996</v>
      </c>
      <c r="BF14">
        <v>0.79249999999999998</v>
      </c>
      <c r="BG14">
        <v>0.78210000000000002</v>
      </c>
      <c r="BH14">
        <v>0.77180000000000004</v>
      </c>
      <c r="BI14">
        <v>0.76139999999999997</v>
      </c>
      <c r="BJ14">
        <v>0.75109999999999999</v>
      </c>
      <c r="BK14">
        <v>0.74070000000000003</v>
      </c>
      <c r="BL14">
        <v>0.73040000000000005</v>
      </c>
      <c r="BM14">
        <v>0.72</v>
      </c>
      <c r="BN14">
        <v>0.7097</v>
      </c>
      <c r="BO14">
        <v>0.69930000000000003</v>
      </c>
      <c r="BP14">
        <v>0.68899999999999995</v>
      </c>
      <c r="BQ14">
        <v>0.67859999999999998</v>
      </c>
      <c r="BR14">
        <v>0.66830000000000001</v>
      </c>
      <c r="BS14">
        <v>0.65790000000000004</v>
      </c>
      <c r="BT14">
        <v>0.64759999999999995</v>
      </c>
      <c r="BU14">
        <v>0.63719999999999999</v>
      </c>
      <c r="BV14">
        <v>0.62690000000000001</v>
      </c>
      <c r="BW14">
        <v>0.61650000000000005</v>
      </c>
      <c r="BX14">
        <v>0.60589999999999999</v>
      </c>
      <c r="BY14">
        <v>0.59450000000000003</v>
      </c>
      <c r="BZ14">
        <v>0.58220000000000005</v>
      </c>
      <c r="CA14">
        <v>0.56920000000000004</v>
      </c>
      <c r="CB14">
        <v>0.5554</v>
      </c>
      <c r="CC14">
        <v>0.54069999999999996</v>
      </c>
      <c r="CD14">
        <v>0.52529999999999999</v>
      </c>
      <c r="CE14">
        <v>0.5091</v>
      </c>
      <c r="CF14">
        <v>0.49209999999999998</v>
      </c>
      <c r="CG14">
        <v>0.47420000000000001</v>
      </c>
      <c r="CH14">
        <v>0.4556</v>
      </c>
      <c r="CI14">
        <v>0.43619999999999998</v>
      </c>
      <c r="CJ14">
        <v>0.41589999999999999</v>
      </c>
      <c r="CK14">
        <v>0.39489999999999997</v>
      </c>
      <c r="CL14">
        <v>0.37309999999999999</v>
      </c>
      <c r="CM14">
        <v>0.35039999999999999</v>
      </c>
      <c r="CN14">
        <v>0.32700000000000001</v>
      </c>
      <c r="CO14">
        <v>0.30280000000000001</v>
      </c>
      <c r="CP14">
        <v>0.27779999999999999</v>
      </c>
      <c r="CQ14">
        <v>0.25190000000000001</v>
      </c>
      <c r="CR14">
        <v>0.2253</v>
      </c>
      <c r="CS14">
        <v>0.19789999999999999</v>
      </c>
      <c r="CT14">
        <v>0.1696</v>
      </c>
      <c r="CU14">
        <v>0.1406</v>
      </c>
      <c r="CV14">
        <v>0.1108</v>
      </c>
    </row>
    <row r="15" spans="1:100">
      <c r="A15" t="s">
        <v>55</v>
      </c>
      <c r="B15" t="s">
        <v>30</v>
      </c>
      <c r="C15">
        <v>25</v>
      </c>
      <c r="D15">
        <v>4500</v>
      </c>
      <c r="E15">
        <v>0.59150000000000003</v>
      </c>
      <c r="F15">
        <v>0.63270000000000004</v>
      </c>
      <c r="G15">
        <v>0.67159999999999997</v>
      </c>
      <c r="H15">
        <v>0.70820000000000005</v>
      </c>
      <c r="I15">
        <v>0.74250000000000005</v>
      </c>
      <c r="J15">
        <v>0.77449999999999997</v>
      </c>
      <c r="K15">
        <v>0.80420000000000003</v>
      </c>
      <c r="L15">
        <v>0.83160000000000001</v>
      </c>
      <c r="M15">
        <v>0.85670000000000002</v>
      </c>
      <c r="N15">
        <v>0.87960000000000005</v>
      </c>
      <c r="O15">
        <v>0.90010000000000001</v>
      </c>
      <c r="P15">
        <v>0.9194</v>
      </c>
      <c r="Q15">
        <v>0.93879999999999997</v>
      </c>
      <c r="R15">
        <v>0.95669999999999999</v>
      </c>
      <c r="S15">
        <v>0.97150000000000003</v>
      </c>
      <c r="T15">
        <v>0.98299999999999998</v>
      </c>
      <c r="U15">
        <v>0.9909</v>
      </c>
      <c r="V15">
        <v>0.99509999999999998</v>
      </c>
      <c r="W15">
        <v>0.99729999999999996</v>
      </c>
      <c r="X15">
        <v>0.99880000000000002</v>
      </c>
      <c r="Y15">
        <v>0.99970000000000003</v>
      </c>
      <c r="Z15">
        <v>1</v>
      </c>
      <c r="AA15">
        <v>1</v>
      </c>
      <c r="AB15">
        <v>0.99980000000000002</v>
      </c>
      <c r="AC15">
        <v>0.99909999999999999</v>
      </c>
      <c r="AD15">
        <v>0.998</v>
      </c>
      <c r="AE15">
        <v>0.99639999999999995</v>
      </c>
      <c r="AF15">
        <v>0.99439999999999995</v>
      </c>
      <c r="AG15">
        <v>0.9919</v>
      </c>
      <c r="AH15">
        <v>0.98899999999999999</v>
      </c>
      <c r="AI15">
        <v>0.98560000000000003</v>
      </c>
      <c r="AJ15">
        <v>0.98180000000000001</v>
      </c>
      <c r="AK15">
        <v>0.97760000000000002</v>
      </c>
      <c r="AL15">
        <v>0.9728</v>
      </c>
      <c r="AM15">
        <v>0.96760000000000002</v>
      </c>
      <c r="AN15">
        <v>0.96199999999999997</v>
      </c>
      <c r="AO15">
        <v>0.95599999999999996</v>
      </c>
      <c r="AP15">
        <v>0.94940000000000002</v>
      </c>
      <c r="AQ15">
        <v>0.94240000000000002</v>
      </c>
      <c r="AR15">
        <v>0.93500000000000005</v>
      </c>
      <c r="AS15">
        <v>0.92710000000000004</v>
      </c>
      <c r="AT15">
        <v>0.91879999999999995</v>
      </c>
      <c r="AU15">
        <v>0.91010000000000002</v>
      </c>
      <c r="AV15">
        <v>0.90090000000000003</v>
      </c>
      <c r="AW15">
        <v>0.89119999999999999</v>
      </c>
      <c r="AX15">
        <v>0.88129999999999997</v>
      </c>
      <c r="AY15">
        <v>0.87129999999999996</v>
      </c>
      <c r="AZ15">
        <v>0.86119999999999997</v>
      </c>
      <c r="BA15">
        <v>0.85099999999999998</v>
      </c>
      <c r="BB15">
        <v>0.84079999999999999</v>
      </c>
      <c r="BC15">
        <v>0.83040000000000003</v>
      </c>
      <c r="BD15">
        <v>0.81989999999999996</v>
      </c>
      <c r="BE15">
        <v>0.80940000000000001</v>
      </c>
      <c r="BF15">
        <v>0.79890000000000005</v>
      </c>
      <c r="BG15">
        <v>0.7883</v>
      </c>
      <c r="BH15">
        <v>0.77780000000000005</v>
      </c>
      <c r="BI15">
        <v>0.76729999999999998</v>
      </c>
      <c r="BJ15">
        <v>0.75680000000000003</v>
      </c>
      <c r="BK15">
        <v>0.74619999999999997</v>
      </c>
      <c r="BL15">
        <v>0.73580000000000001</v>
      </c>
      <c r="BM15">
        <v>0.72519999999999996</v>
      </c>
      <c r="BN15">
        <v>0.7147</v>
      </c>
      <c r="BO15">
        <v>0.70409999999999995</v>
      </c>
      <c r="BP15">
        <v>0.69369999999999998</v>
      </c>
      <c r="BQ15">
        <v>0.68310000000000004</v>
      </c>
      <c r="BR15">
        <v>0.67259999999999998</v>
      </c>
      <c r="BS15">
        <v>0.66200000000000003</v>
      </c>
      <c r="BT15">
        <v>0.65159999999999996</v>
      </c>
      <c r="BU15">
        <v>0.64100000000000001</v>
      </c>
      <c r="BV15">
        <v>0.63039999999999996</v>
      </c>
      <c r="BW15">
        <v>0.61960000000000004</v>
      </c>
      <c r="BX15">
        <v>0.60829999999999995</v>
      </c>
      <c r="BY15">
        <v>0.59640000000000004</v>
      </c>
      <c r="BZ15">
        <v>0.58350000000000002</v>
      </c>
      <c r="CA15">
        <v>0.56989999999999996</v>
      </c>
      <c r="CB15">
        <v>0.55549999999999999</v>
      </c>
      <c r="CC15">
        <v>0.54020000000000001</v>
      </c>
      <c r="CD15">
        <v>0.5242</v>
      </c>
      <c r="CE15">
        <v>0.50739999999999996</v>
      </c>
      <c r="CF15">
        <v>0.48980000000000001</v>
      </c>
      <c r="CG15">
        <v>0.4713</v>
      </c>
      <c r="CH15">
        <v>0.4521</v>
      </c>
      <c r="CI15">
        <v>0.43209999999999998</v>
      </c>
      <c r="CJ15">
        <v>0.41120000000000001</v>
      </c>
      <c r="CK15">
        <v>0.3896</v>
      </c>
      <c r="CL15">
        <v>0.36720000000000003</v>
      </c>
      <c r="CM15">
        <v>0.34389999999999998</v>
      </c>
      <c r="CN15">
        <v>0.31990000000000002</v>
      </c>
      <c r="CO15">
        <v>0.29509999999999997</v>
      </c>
      <c r="CP15">
        <v>0.26950000000000002</v>
      </c>
      <c r="CQ15">
        <v>0.24310000000000001</v>
      </c>
      <c r="CR15">
        <v>0.21579999999999999</v>
      </c>
      <c r="CS15">
        <v>0.18790000000000001</v>
      </c>
      <c r="CT15">
        <v>0.159</v>
      </c>
      <c r="CU15">
        <v>0.12939999999999999</v>
      </c>
      <c r="CV15">
        <v>9.9000000000000005E-2</v>
      </c>
    </row>
    <row r="16" spans="1:100">
      <c r="A16" t="s">
        <v>54</v>
      </c>
      <c r="B16" t="s">
        <v>32</v>
      </c>
      <c r="C16">
        <v>30</v>
      </c>
      <c r="D16">
        <v>5450</v>
      </c>
      <c r="E16">
        <v>0.57369999999999999</v>
      </c>
      <c r="F16">
        <v>0.6169</v>
      </c>
      <c r="G16">
        <v>0.65749999999999997</v>
      </c>
      <c r="H16">
        <v>0.69550000000000001</v>
      </c>
      <c r="I16">
        <v>0.73099999999999998</v>
      </c>
      <c r="J16">
        <v>0.76380000000000003</v>
      </c>
      <c r="K16">
        <v>0.79410000000000003</v>
      </c>
      <c r="L16">
        <v>0.82179999999999997</v>
      </c>
      <c r="M16">
        <v>0.84689999999999999</v>
      </c>
      <c r="N16">
        <v>0.86950000000000005</v>
      </c>
      <c r="O16">
        <v>0.88939999999999997</v>
      </c>
      <c r="P16">
        <v>0.90810000000000002</v>
      </c>
      <c r="Q16">
        <v>0.92679999999999996</v>
      </c>
      <c r="R16">
        <v>0.94450000000000001</v>
      </c>
      <c r="S16">
        <v>0.96020000000000005</v>
      </c>
      <c r="T16">
        <v>0.97340000000000004</v>
      </c>
      <c r="U16">
        <v>0.98319999999999996</v>
      </c>
      <c r="V16">
        <v>0.9899</v>
      </c>
      <c r="W16">
        <v>0.99429999999999996</v>
      </c>
      <c r="X16">
        <v>0.99750000000000005</v>
      </c>
      <c r="Y16">
        <v>0.99939999999999996</v>
      </c>
      <c r="Z16">
        <v>1</v>
      </c>
      <c r="AA16">
        <v>1</v>
      </c>
      <c r="AB16">
        <v>0.99980000000000002</v>
      </c>
      <c r="AC16">
        <v>0.99919999999999998</v>
      </c>
      <c r="AD16">
        <v>0.99809999999999999</v>
      </c>
      <c r="AE16">
        <v>0.99660000000000004</v>
      </c>
      <c r="AF16">
        <v>0.99470000000000003</v>
      </c>
      <c r="AG16">
        <v>0.99239999999999995</v>
      </c>
      <c r="AH16">
        <v>0.98960000000000004</v>
      </c>
      <c r="AI16">
        <v>0.98640000000000005</v>
      </c>
      <c r="AJ16">
        <v>0.98280000000000001</v>
      </c>
      <c r="AK16">
        <v>0.9788</v>
      </c>
      <c r="AL16">
        <v>0.97430000000000005</v>
      </c>
      <c r="AM16">
        <v>0.96940000000000004</v>
      </c>
      <c r="AN16">
        <v>0.96409999999999996</v>
      </c>
      <c r="AO16">
        <v>0.95840000000000003</v>
      </c>
      <c r="AP16">
        <v>0.95220000000000005</v>
      </c>
      <c r="AQ16">
        <v>0.9456</v>
      </c>
      <c r="AR16">
        <v>0.93859999999999999</v>
      </c>
      <c r="AS16">
        <v>0.93110000000000004</v>
      </c>
      <c r="AT16">
        <v>0.92330000000000001</v>
      </c>
      <c r="AU16">
        <v>0.91500000000000004</v>
      </c>
      <c r="AV16">
        <v>0.90629999999999999</v>
      </c>
      <c r="AW16">
        <v>0.89710000000000001</v>
      </c>
      <c r="AX16">
        <v>0.88770000000000004</v>
      </c>
      <c r="AY16">
        <v>0.87809999999999999</v>
      </c>
      <c r="AZ16">
        <v>0.86829999999999996</v>
      </c>
      <c r="BA16">
        <v>0.85829999999999995</v>
      </c>
      <c r="BB16">
        <v>0.84809999999999997</v>
      </c>
      <c r="BC16">
        <v>0.8377</v>
      </c>
      <c r="BD16">
        <v>0.82720000000000005</v>
      </c>
      <c r="BE16">
        <v>0.8165</v>
      </c>
      <c r="BF16">
        <v>0.80579999999999996</v>
      </c>
      <c r="BG16">
        <v>0.79510000000000003</v>
      </c>
      <c r="BH16">
        <v>0.7843</v>
      </c>
      <c r="BI16">
        <v>0.77359999999999995</v>
      </c>
      <c r="BJ16">
        <v>0.76290000000000002</v>
      </c>
      <c r="BK16">
        <v>0.75219999999999998</v>
      </c>
      <c r="BL16">
        <v>0.74150000000000005</v>
      </c>
      <c r="BM16">
        <v>0.73080000000000001</v>
      </c>
      <c r="BN16">
        <v>0.72009999999999996</v>
      </c>
      <c r="BO16">
        <v>0.70940000000000003</v>
      </c>
      <c r="BP16">
        <v>0.6986</v>
      </c>
      <c r="BQ16">
        <v>0.68789999999999996</v>
      </c>
      <c r="BR16">
        <v>0.67720000000000002</v>
      </c>
      <c r="BS16">
        <v>0.66649999999999998</v>
      </c>
      <c r="BT16">
        <v>0.65580000000000005</v>
      </c>
      <c r="BU16">
        <v>0.64510000000000001</v>
      </c>
      <c r="BV16">
        <v>0.63419999999999999</v>
      </c>
      <c r="BW16">
        <v>0.62280000000000002</v>
      </c>
      <c r="BX16">
        <v>0.61099999999999999</v>
      </c>
      <c r="BY16">
        <v>0.59840000000000004</v>
      </c>
      <c r="BZ16">
        <v>0.58479999999999999</v>
      </c>
      <c r="CA16">
        <v>0.5706</v>
      </c>
      <c r="CB16">
        <v>0.55559999999999998</v>
      </c>
      <c r="CC16">
        <v>0.53959999999999997</v>
      </c>
      <c r="CD16">
        <v>0.52300000000000002</v>
      </c>
      <c r="CE16">
        <v>0.50549999999999995</v>
      </c>
      <c r="CF16">
        <v>0.48730000000000001</v>
      </c>
      <c r="CG16">
        <v>0.46820000000000001</v>
      </c>
      <c r="CH16">
        <v>0.44829999999999998</v>
      </c>
      <c r="CI16">
        <v>0.42770000000000002</v>
      </c>
      <c r="CJ16">
        <v>0.40620000000000001</v>
      </c>
      <c r="CK16">
        <v>0.38400000000000001</v>
      </c>
      <c r="CL16">
        <v>0.3609</v>
      </c>
      <c r="CM16">
        <v>0.33700000000000002</v>
      </c>
      <c r="CN16">
        <v>0.31240000000000001</v>
      </c>
      <c r="CO16">
        <v>0.28689999999999999</v>
      </c>
      <c r="CP16">
        <v>0.26069999999999999</v>
      </c>
      <c r="CQ16">
        <v>0.2336</v>
      </c>
      <c r="CR16">
        <v>0.20569999999999999</v>
      </c>
      <c r="CS16">
        <v>0.17710000000000001</v>
      </c>
      <c r="CT16">
        <v>0.14760000000000001</v>
      </c>
      <c r="CU16">
        <v>0.1173</v>
      </c>
      <c r="CV16">
        <v>8.6300000000000002E-2</v>
      </c>
    </row>
    <row r="17" spans="1:100">
      <c r="A17" t="s">
        <v>53</v>
      </c>
      <c r="B17" t="s">
        <v>34</v>
      </c>
      <c r="C17">
        <v>42.195</v>
      </c>
      <c r="D17">
        <v>7796</v>
      </c>
      <c r="E17">
        <v>0.54049999999999998</v>
      </c>
      <c r="F17">
        <v>0.58740000000000003</v>
      </c>
      <c r="G17">
        <v>0.63109999999999999</v>
      </c>
      <c r="H17">
        <v>0.67179999999999995</v>
      </c>
      <c r="I17">
        <v>0.70930000000000004</v>
      </c>
      <c r="J17">
        <v>0.74380000000000002</v>
      </c>
      <c r="K17">
        <v>0.77510000000000001</v>
      </c>
      <c r="L17">
        <v>0.8034</v>
      </c>
      <c r="M17">
        <v>0.82850000000000001</v>
      </c>
      <c r="N17">
        <v>0.85060000000000002</v>
      </c>
      <c r="O17">
        <v>0.86950000000000005</v>
      </c>
      <c r="P17">
        <v>0.88690000000000002</v>
      </c>
      <c r="Q17">
        <v>0.90429999999999999</v>
      </c>
      <c r="R17">
        <v>0.92169999999999996</v>
      </c>
      <c r="S17">
        <v>0.93910000000000005</v>
      </c>
      <c r="T17">
        <v>0.95530000000000004</v>
      </c>
      <c r="U17">
        <v>0.96889999999999998</v>
      </c>
      <c r="V17">
        <v>0.98009999999999997</v>
      </c>
      <c r="W17">
        <v>0.98880000000000001</v>
      </c>
      <c r="X17">
        <v>0.995</v>
      </c>
      <c r="Y17">
        <v>0.99880000000000002</v>
      </c>
      <c r="Z17">
        <v>1</v>
      </c>
      <c r="AA17">
        <v>1</v>
      </c>
      <c r="AB17">
        <v>0.99980000000000002</v>
      </c>
      <c r="AC17">
        <v>0.99919999999999998</v>
      </c>
      <c r="AD17">
        <v>0.99829999999999997</v>
      </c>
      <c r="AE17">
        <v>0.997</v>
      </c>
      <c r="AF17">
        <v>0.99529999999999996</v>
      </c>
      <c r="AG17">
        <v>0.99319999999999997</v>
      </c>
      <c r="AH17">
        <v>0.99070000000000003</v>
      </c>
      <c r="AI17">
        <v>0.9879</v>
      </c>
      <c r="AJ17">
        <v>0.98470000000000002</v>
      </c>
      <c r="AK17">
        <v>0.98109999999999997</v>
      </c>
      <c r="AL17">
        <v>0.97709999999999997</v>
      </c>
      <c r="AM17">
        <v>0.97270000000000001</v>
      </c>
      <c r="AN17">
        <v>0.96799999999999997</v>
      </c>
      <c r="AO17">
        <v>0.96289999999999998</v>
      </c>
      <c r="AP17">
        <v>0.95740000000000003</v>
      </c>
      <c r="AQ17">
        <v>0.95150000000000001</v>
      </c>
      <c r="AR17">
        <v>0.94530000000000003</v>
      </c>
      <c r="AS17">
        <v>0.93859999999999999</v>
      </c>
      <c r="AT17">
        <v>0.93159999999999998</v>
      </c>
      <c r="AU17">
        <v>0.92420000000000002</v>
      </c>
      <c r="AV17">
        <v>0.91649999999999998</v>
      </c>
      <c r="AW17">
        <v>0.9083</v>
      </c>
      <c r="AX17">
        <v>0.89980000000000004</v>
      </c>
      <c r="AY17">
        <v>0.89090000000000003</v>
      </c>
      <c r="AZ17">
        <v>0.88160000000000005</v>
      </c>
      <c r="BA17">
        <v>0.872</v>
      </c>
      <c r="BB17">
        <v>0.8619</v>
      </c>
      <c r="BC17">
        <v>0.85150000000000003</v>
      </c>
      <c r="BD17">
        <v>0.8407</v>
      </c>
      <c r="BE17">
        <v>0.82969999999999999</v>
      </c>
      <c r="BF17">
        <v>0.81859999999999999</v>
      </c>
      <c r="BG17">
        <v>0.80759999999999998</v>
      </c>
      <c r="BH17">
        <v>0.79649999999999999</v>
      </c>
      <c r="BI17">
        <v>0.78539999999999999</v>
      </c>
      <c r="BJ17">
        <v>0.77439999999999998</v>
      </c>
      <c r="BK17">
        <v>0.76329999999999998</v>
      </c>
      <c r="BL17">
        <v>0.75229999999999997</v>
      </c>
      <c r="BM17">
        <v>0.74119999999999997</v>
      </c>
      <c r="BN17">
        <v>0.73009999999999997</v>
      </c>
      <c r="BO17">
        <v>0.71909999999999996</v>
      </c>
      <c r="BP17">
        <v>0.70799999999999996</v>
      </c>
      <c r="BQ17">
        <v>0.69699999999999995</v>
      </c>
      <c r="BR17">
        <v>0.68589999999999995</v>
      </c>
      <c r="BS17">
        <v>0.67479999999999996</v>
      </c>
      <c r="BT17">
        <v>0.66379999999999995</v>
      </c>
      <c r="BU17">
        <v>0.65269999999999995</v>
      </c>
      <c r="BV17">
        <v>0.64129999999999998</v>
      </c>
      <c r="BW17">
        <v>0.629</v>
      </c>
      <c r="BX17">
        <v>0.6159</v>
      </c>
      <c r="BY17">
        <v>0.60209999999999997</v>
      </c>
      <c r="BZ17">
        <v>0.58740000000000003</v>
      </c>
      <c r="CA17">
        <v>0.57199999999999995</v>
      </c>
      <c r="CB17">
        <v>0.55569999999999997</v>
      </c>
      <c r="CC17">
        <v>0.53859999999999997</v>
      </c>
      <c r="CD17">
        <v>0.52080000000000004</v>
      </c>
      <c r="CE17">
        <v>0.50209999999999999</v>
      </c>
      <c r="CF17">
        <v>0.48270000000000002</v>
      </c>
      <c r="CG17">
        <v>0.46239999999999998</v>
      </c>
      <c r="CH17">
        <v>0.44130000000000003</v>
      </c>
      <c r="CI17">
        <v>0.41949999999999998</v>
      </c>
      <c r="CJ17">
        <v>0.39679999999999999</v>
      </c>
      <c r="CK17">
        <v>0.37340000000000001</v>
      </c>
      <c r="CL17">
        <v>0.34910000000000002</v>
      </c>
      <c r="CM17">
        <v>0.32400000000000001</v>
      </c>
      <c r="CN17">
        <v>0.29820000000000002</v>
      </c>
      <c r="CO17">
        <v>0.27150000000000002</v>
      </c>
      <c r="CP17">
        <v>0.24410000000000001</v>
      </c>
      <c r="CQ17">
        <v>0.21579999999999999</v>
      </c>
      <c r="CR17">
        <v>0.1867</v>
      </c>
      <c r="CS17">
        <v>0.15690000000000001</v>
      </c>
      <c r="CT17">
        <v>0.12620000000000001</v>
      </c>
      <c r="CU17">
        <v>9.4799999999999995E-2</v>
      </c>
      <c r="CV17">
        <v>6.25E-2</v>
      </c>
    </row>
    <row r="18" spans="1:100">
      <c r="A18" t="s">
        <v>52</v>
      </c>
      <c r="B18" t="s">
        <v>36</v>
      </c>
      <c r="C18">
        <v>50</v>
      </c>
      <c r="D18">
        <v>9390</v>
      </c>
      <c r="E18">
        <v>0.54049999999999998</v>
      </c>
      <c r="F18">
        <v>0.58740000000000003</v>
      </c>
      <c r="G18">
        <v>0.63109999999999999</v>
      </c>
      <c r="H18">
        <v>0.67179999999999995</v>
      </c>
      <c r="I18">
        <v>0.70930000000000004</v>
      </c>
      <c r="J18">
        <v>0.74380000000000002</v>
      </c>
      <c r="K18">
        <v>0.77510000000000001</v>
      </c>
      <c r="L18">
        <v>0.8034</v>
      </c>
      <c r="M18">
        <v>0.82850000000000001</v>
      </c>
      <c r="N18">
        <v>0.85060000000000002</v>
      </c>
      <c r="O18">
        <v>0.86950000000000005</v>
      </c>
      <c r="P18">
        <v>0.88690000000000002</v>
      </c>
      <c r="Q18">
        <v>0.90429999999999999</v>
      </c>
      <c r="R18">
        <v>0.92169999999999996</v>
      </c>
      <c r="S18">
        <v>0.93910000000000005</v>
      </c>
      <c r="T18">
        <v>0.95530000000000004</v>
      </c>
      <c r="U18">
        <v>0.96889999999999998</v>
      </c>
      <c r="V18">
        <v>0.98009999999999997</v>
      </c>
      <c r="W18">
        <v>0.98880000000000001</v>
      </c>
      <c r="X18">
        <v>0.995</v>
      </c>
      <c r="Y18">
        <v>0.99880000000000002</v>
      </c>
      <c r="Z18">
        <v>1</v>
      </c>
      <c r="AA18">
        <v>1</v>
      </c>
      <c r="AB18">
        <v>0.99980000000000002</v>
      </c>
      <c r="AC18">
        <v>0.99919999999999998</v>
      </c>
      <c r="AD18">
        <v>0.99829999999999997</v>
      </c>
      <c r="AE18">
        <v>0.997</v>
      </c>
      <c r="AF18">
        <v>0.99529999999999996</v>
      </c>
      <c r="AG18">
        <v>0.99319999999999997</v>
      </c>
      <c r="AH18">
        <v>0.99070000000000003</v>
      </c>
      <c r="AI18">
        <v>0.9879</v>
      </c>
      <c r="AJ18">
        <v>0.98470000000000002</v>
      </c>
      <c r="AK18">
        <v>0.98109999999999997</v>
      </c>
      <c r="AL18">
        <v>0.97709999999999997</v>
      </c>
      <c r="AM18">
        <v>0.97270000000000001</v>
      </c>
      <c r="AN18">
        <v>0.96799999999999997</v>
      </c>
      <c r="AO18">
        <v>0.96289999999999998</v>
      </c>
      <c r="AP18">
        <v>0.95740000000000003</v>
      </c>
      <c r="AQ18">
        <v>0.95150000000000001</v>
      </c>
      <c r="AR18">
        <v>0.94530000000000003</v>
      </c>
      <c r="AS18">
        <v>0.93859999999999999</v>
      </c>
      <c r="AT18">
        <v>0.93159999999999998</v>
      </c>
      <c r="AU18">
        <v>0.92420000000000002</v>
      </c>
      <c r="AV18">
        <v>0.91649999999999998</v>
      </c>
      <c r="AW18">
        <v>0.9083</v>
      </c>
      <c r="AX18">
        <v>0.89980000000000004</v>
      </c>
      <c r="AY18">
        <v>0.89090000000000003</v>
      </c>
      <c r="AZ18">
        <v>0.88160000000000005</v>
      </c>
      <c r="BA18">
        <v>0.872</v>
      </c>
      <c r="BB18">
        <v>0.8619</v>
      </c>
      <c r="BC18">
        <v>0.85150000000000003</v>
      </c>
      <c r="BD18">
        <v>0.8407</v>
      </c>
      <c r="BE18">
        <v>0.82969999999999999</v>
      </c>
      <c r="BF18">
        <v>0.81859999999999999</v>
      </c>
      <c r="BG18">
        <v>0.80759999999999998</v>
      </c>
      <c r="BH18">
        <v>0.79649999999999999</v>
      </c>
      <c r="BI18">
        <v>0.78539999999999999</v>
      </c>
      <c r="BJ18">
        <v>0.77439999999999998</v>
      </c>
      <c r="BK18">
        <v>0.76329999999999998</v>
      </c>
      <c r="BL18">
        <v>0.75229999999999997</v>
      </c>
      <c r="BM18">
        <v>0.74119999999999997</v>
      </c>
      <c r="BN18">
        <v>0.73009999999999997</v>
      </c>
      <c r="BO18">
        <v>0.71909999999999996</v>
      </c>
      <c r="BP18">
        <v>0.70799999999999996</v>
      </c>
      <c r="BQ18">
        <v>0.69699999999999995</v>
      </c>
      <c r="BR18">
        <v>0.68589999999999995</v>
      </c>
      <c r="BS18">
        <v>0.67479999999999996</v>
      </c>
      <c r="BT18">
        <v>0.66379999999999995</v>
      </c>
      <c r="BU18">
        <v>0.65269999999999995</v>
      </c>
      <c r="BV18">
        <v>0.64129999999999998</v>
      </c>
      <c r="BW18">
        <v>0.629</v>
      </c>
      <c r="BX18">
        <v>0.6159</v>
      </c>
      <c r="BY18">
        <v>0.60209999999999997</v>
      </c>
      <c r="BZ18">
        <v>0.58740000000000003</v>
      </c>
      <c r="CA18">
        <v>0.57199999999999995</v>
      </c>
      <c r="CB18">
        <v>0.55569999999999997</v>
      </c>
      <c r="CC18">
        <v>0.53859999999999997</v>
      </c>
      <c r="CD18">
        <v>0.52080000000000004</v>
      </c>
      <c r="CE18">
        <v>0.50209999999999999</v>
      </c>
      <c r="CF18">
        <v>0.48270000000000002</v>
      </c>
      <c r="CG18">
        <v>0.46239999999999998</v>
      </c>
      <c r="CH18">
        <v>0.44130000000000003</v>
      </c>
      <c r="CI18">
        <v>0.41949999999999998</v>
      </c>
      <c r="CJ18">
        <v>0.39679999999999999</v>
      </c>
      <c r="CK18">
        <v>0.37340000000000001</v>
      </c>
      <c r="CL18">
        <v>0.34910000000000002</v>
      </c>
      <c r="CM18">
        <v>0.32400000000000001</v>
      </c>
      <c r="CN18">
        <v>0.29820000000000002</v>
      </c>
      <c r="CO18">
        <v>0.27150000000000002</v>
      </c>
      <c r="CP18">
        <v>0.24410000000000001</v>
      </c>
      <c r="CQ18">
        <v>0.21579999999999999</v>
      </c>
      <c r="CR18">
        <v>0.1867</v>
      </c>
      <c r="CS18">
        <v>0.15690000000000001</v>
      </c>
      <c r="CT18">
        <v>0.12620000000000001</v>
      </c>
      <c r="CU18">
        <v>9.4799999999999995E-2</v>
      </c>
      <c r="CV18">
        <v>6.25E-2</v>
      </c>
    </row>
    <row r="19" spans="1:100">
      <c r="A19" t="s">
        <v>51</v>
      </c>
      <c r="B19" t="s">
        <v>38</v>
      </c>
      <c r="C19">
        <v>80.467200000000005</v>
      </c>
      <c r="D19">
        <v>17100</v>
      </c>
      <c r="E19">
        <v>0.54049999999999998</v>
      </c>
      <c r="F19">
        <v>0.58740000000000003</v>
      </c>
      <c r="G19">
        <v>0.63109999999999999</v>
      </c>
      <c r="H19">
        <v>0.67179999999999995</v>
      </c>
      <c r="I19">
        <v>0.70930000000000004</v>
      </c>
      <c r="J19">
        <v>0.74380000000000002</v>
      </c>
      <c r="K19">
        <v>0.77510000000000001</v>
      </c>
      <c r="L19">
        <v>0.8034</v>
      </c>
      <c r="M19">
        <v>0.82850000000000001</v>
      </c>
      <c r="N19">
        <v>0.85060000000000002</v>
      </c>
      <c r="O19">
        <v>0.86950000000000005</v>
      </c>
      <c r="P19">
        <v>0.88690000000000002</v>
      </c>
      <c r="Q19">
        <v>0.90429999999999999</v>
      </c>
      <c r="R19">
        <v>0.92169999999999996</v>
      </c>
      <c r="S19">
        <v>0.93910000000000005</v>
      </c>
      <c r="T19">
        <v>0.95530000000000004</v>
      </c>
      <c r="U19">
        <v>0.96889999999999998</v>
      </c>
      <c r="V19">
        <v>0.98009999999999997</v>
      </c>
      <c r="W19">
        <v>0.98880000000000001</v>
      </c>
      <c r="X19">
        <v>0.995</v>
      </c>
      <c r="Y19">
        <v>0.99880000000000002</v>
      </c>
      <c r="Z19">
        <v>1</v>
      </c>
      <c r="AA19">
        <v>1</v>
      </c>
      <c r="AB19">
        <v>0.99980000000000002</v>
      </c>
      <c r="AC19">
        <v>0.99919999999999998</v>
      </c>
      <c r="AD19">
        <v>0.99829999999999997</v>
      </c>
      <c r="AE19">
        <v>0.997</v>
      </c>
      <c r="AF19">
        <v>0.99529999999999996</v>
      </c>
      <c r="AG19">
        <v>0.99319999999999997</v>
      </c>
      <c r="AH19">
        <v>0.99070000000000003</v>
      </c>
      <c r="AI19">
        <v>0.9879</v>
      </c>
      <c r="AJ19">
        <v>0.98470000000000002</v>
      </c>
      <c r="AK19">
        <v>0.98109999999999997</v>
      </c>
      <c r="AL19">
        <v>0.97709999999999997</v>
      </c>
      <c r="AM19">
        <v>0.97270000000000001</v>
      </c>
      <c r="AN19">
        <v>0.96799999999999997</v>
      </c>
      <c r="AO19">
        <v>0.96289999999999998</v>
      </c>
      <c r="AP19">
        <v>0.95740000000000003</v>
      </c>
      <c r="AQ19">
        <v>0.95150000000000001</v>
      </c>
      <c r="AR19">
        <v>0.94530000000000003</v>
      </c>
      <c r="AS19">
        <v>0.93859999999999999</v>
      </c>
      <c r="AT19">
        <v>0.93159999999999998</v>
      </c>
      <c r="AU19">
        <v>0.92420000000000002</v>
      </c>
      <c r="AV19">
        <v>0.91649999999999998</v>
      </c>
      <c r="AW19">
        <v>0.9083</v>
      </c>
      <c r="AX19">
        <v>0.89980000000000004</v>
      </c>
      <c r="AY19">
        <v>0.89090000000000003</v>
      </c>
      <c r="AZ19">
        <v>0.88160000000000005</v>
      </c>
      <c r="BA19">
        <v>0.872</v>
      </c>
      <c r="BB19">
        <v>0.8619</v>
      </c>
      <c r="BC19">
        <v>0.85150000000000003</v>
      </c>
      <c r="BD19">
        <v>0.8407</v>
      </c>
      <c r="BE19">
        <v>0.82969999999999999</v>
      </c>
      <c r="BF19">
        <v>0.81859999999999999</v>
      </c>
      <c r="BG19">
        <v>0.80759999999999998</v>
      </c>
      <c r="BH19">
        <v>0.79649999999999999</v>
      </c>
      <c r="BI19">
        <v>0.78539999999999999</v>
      </c>
      <c r="BJ19">
        <v>0.77439999999999998</v>
      </c>
      <c r="BK19">
        <v>0.76329999999999998</v>
      </c>
      <c r="BL19">
        <v>0.75229999999999997</v>
      </c>
      <c r="BM19">
        <v>0.74119999999999997</v>
      </c>
      <c r="BN19">
        <v>0.73009999999999997</v>
      </c>
      <c r="BO19">
        <v>0.71909999999999996</v>
      </c>
      <c r="BP19">
        <v>0.70799999999999996</v>
      </c>
      <c r="BQ19">
        <v>0.69699999999999995</v>
      </c>
      <c r="BR19">
        <v>0.68589999999999995</v>
      </c>
      <c r="BS19">
        <v>0.67479999999999996</v>
      </c>
      <c r="BT19">
        <v>0.66379999999999995</v>
      </c>
      <c r="BU19">
        <v>0.65269999999999995</v>
      </c>
      <c r="BV19">
        <v>0.64129999999999998</v>
      </c>
      <c r="BW19">
        <v>0.629</v>
      </c>
      <c r="BX19">
        <v>0.6159</v>
      </c>
      <c r="BY19">
        <v>0.60209999999999997</v>
      </c>
      <c r="BZ19">
        <v>0.58740000000000003</v>
      </c>
      <c r="CA19">
        <v>0.57199999999999995</v>
      </c>
      <c r="CB19">
        <v>0.55569999999999997</v>
      </c>
      <c r="CC19">
        <v>0.53859999999999997</v>
      </c>
      <c r="CD19">
        <v>0.52080000000000004</v>
      </c>
      <c r="CE19">
        <v>0.50209999999999999</v>
      </c>
      <c r="CF19">
        <v>0.48270000000000002</v>
      </c>
      <c r="CG19">
        <v>0.46239999999999998</v>
      </c>
      <c r="CH19">
        <v>0.44130000000000003</v>
      </c>
      <c r="CI19">
        <v>0.41949999999999998</v>
      </c>
      <c r="CJ19">
        <v>0.39679999999999999</v>
      </c>
      <c r="CK19">
        <v>0.37340000000000001</v>
      </c>
      <c r="CL19">
        <v>0.34910000000000002</v>
      </c>
      <c r="CM19">
        <v>0.32400000000000001</v>
      </c>
      <c r="CN19">
        <v>0.29820000000000002</v>
      </c>
      <c r="CO19">
        <v>0.27150000000000002</v>
      </c>
      <c r="CP19">
        <v>0.24410000000000001</v>
      </c>
      <c r="CQ19">
        <v>0.21579999999999999</v>
      </c>
      <c r="CR19">
        <v>0.1867</v>
      </c>
      <c r="CS19">
        <v>0.15690000000000001</v>
      </c>
      <c r="CT19">
        <v>0.12620000000000001</v>
      </c>
      <c r="CU19">
        <v>9.4799999999999995E-2</v>
      </c>
      <c r="CV19">
        <v>6.25E-2</v>
      </c>
    </row>
    <row r="20" spans="1:100">
      <c r="A20" t="s">
        <v>50</v>
      </c>
      <c r="B20" t="s">
        <v>40</v>
      </c>
      <c r="C20">
        <v>100</v>
      </c>
      <c r="D20">
        <v>23591</v>
      </c>
      <c r="E20">
        <v>0.54049999999999998</v>
      </c>
      <c r="F20">
        <v>0.58740000000000003</v>
      </c>
      <c r="G20">
        <v>0.63109999999999999</v>
      </c>
      <c r="H20">
        <v>0.67179999999999995</v>
      </c>
      <c r="I20">
        <v>0.70930000000000004</v>
      </c>
      <c r="J20">
        <v>0.74380000000000002</v>
      </c>
      <c r="K20">
        <v>0.77510000000000001</v>
      </c>
      <c r="L20">
        <v>0.8034</v>
      </c>
      <c r="M20">
        <v>0.82850000000000001</v>
      </c>
      <c r="N20">
        <v>0.85060000000000002</v>
      </c>
      <c r="O20">
        <v>0.86950000000000005</v>
      </c>
      <c r="P20">
        <v>0.88690000000000002</v>
      </c>
      <c r="Q20">
        <v>0.90429999999999999</v>
      </c>
      <c r="R20">
        <v>0.92169999999999996</v>
      </c>
      <c r="S20">
        <v>0.93910000000000005</v>
      </c>
      <c r="T20">
        <v>0.95530000000000004</v>
      </c>
      <c r="U20">
        <v>0.96889999999999998</v>
      </c>
      <c r="V20">
        <v>0.98009999999999997</v>
      </c>
      <c r="W20">
        <v>0.98880000000000001</v>
      </c>
      <c r="X20">
        <v>0.995</v>
      </c>
      <c r="Y20">
        <v>0.99880000000000002</v>
      </c>
      <c r="Z20">
        <v>1</v>
      </c>
      <c r="AA20">
        <v>1</v>
      </c>
      <c r="AB20">
        <v>0.99980000000000002</v>
      </c>
      <c r="AC20">
        <v>0.99919999999999998</v>
      </c>
      <c r="AD20">
        <v>0.99829999999999997</v>
      </c>
      <c r="AE20">
        <v>0.997</v>
      </c>
      <c r="AF20">
        <v>0.99529999999999996</v>
      </c>
      <c r="AG20">
        <v>0.99319999999999997</v>
      </c>
      <c r="AH20">
        <v>0.99070000000000003</v>
      </c>
      <c r="AI20">
        <v>0.9879</v>
      </c>
      <c r="AJ20">
        <v>0.98470000000000002</v>
      </c>
      <c r="AK20">
        <v>0.98109999999999997</v>
      </c>
      <c r="AL20">
        <v>0.97709999999999997</v>
      </c>
      <c r="AM20">
        <v>0.97270000000000001</v>
      </c>
      <c r="AN20">
        <v>0.96799999999999997</v>
      </c>
      <c r="AO20">
        <v>0.96289999999999998</v>
      </c>
      <c r="AP20">
        <v>0.95740000000000003</v>
      </c>
      <c r="AQ20">
        <v>0.95150000000000001</v>
      </c>
      <c r="AR20">
        <v>0.94530000000000003</v>
      </c>
      <c r="AS20">
        <v>0.93859999999999999</v>
      </c>
      <c r="AT20">
        <v>0.93159999999999998</v>
      </c>
      <c r="AU20">
        <v>0.92420000000000002</v>
      </c>
      <c r="AV20">
        <v>0.91649999999999998</v>
      </c>
      <c r="AW20">
        <v>0.9083</v>
      </c>
      <c r="AX20">
        <v>0.89980000000000004</v>
      </c>
      <c r="AY20">
        <v>0.89090000000000003</v>
      </c>
      <c r="AZ20">
        <v>0.88160000000000005</v>
      </c>
      <c r="BA20">
        <v>0.872</v>
      </c>
      <c r="BB20">
        <v>0.8619</v>
      </c>
      <c r="BC20">
        <v>0.85150000000000003</v>
      </c>
      <c r="BD20">
        <v>0.8407</v>
      </c>
      <c r="BE20">
        <v>0.82969999999999999</v>
      </c>
      <c r="BF20">
        <v>0.81859999999999999</v>
      </c>
      <c r="BG20">
        <v>0.80759999999999998</v>
      </c>
      <c r="BH20">
        <v>0.79649999999999999</v>
      </c>
      <c r="BI20">
        <v>0.78539999999999999</v>
      </c>
      <c r="BJ20">
        <v>0.77439999999999998</v>
      </c>
      <c r="BK20">
        <v>0.76329999999999998</v>
      </c>
      <c r="BL20">
        <v>0.75229999999999997</v>
      </c>
      <c r="BM20">
        <v>0.74119999999999997</v>
      </c>
      <c r="BN20">
        <v>0.73009999999999997</v>
      </c>
      <c r="BO20">
        <v>0.71909999999999996</v>
      </c>
      <c r="BP20">
        <v>0.70799999999999996</v>
      </c>
      <c r="BQ20">
        <v>0.69699999999999995</v>
      </c>
      <c r="BR20">
        <v>0.68589999999999995</v>
      </c>
      <c r="BS20">
        <v>0.67479999999999996</v>
      </c>
      <c r="BT20">
        <v>0.66379999999999995</v>
      </c>
      <c r="BU20">
        <v>0.65269999999999995</v>
      </c>
      <c r="BV20">
        <v>0.64129999999999998</v>
      </c>
      <c r="BW20">
        <v>0.629</v>
      </c>
      <c r="BX20">
        <v>0.6159</v>
      </c>
      <c r="BY20">
        <v>0.60209999999999997</v>
      </c>
      <c r="BZ20">
        <v>0.58740000000000003</v>
      </c>
      <c r="CA20">
        <v>0.57199999999999995</v>
      </c>
      <c r="CB20">
        <v>0.55569999999999997</v>
      </c>
      <c r="CC20">
        <v>0.53859999999999997</v>
      </c>
      <c r="CD20">
        <v>0.52080000000000004</v>
      </c>
      <c r="CE20">
        <v>0.50209999999999999</v>
      </c>
      <c r="CF20">
        <v>0.48270000000000002</v>
      </c>
      <c r="CG20">
        <v>0.46239999999999998</v>
      </c>
      <c r="CH20">
        <v>0.44130000000000003</v>
      </c>
      <c r="CI20">
        <v>0.41949999999999998</v>
      </c>
      <c r="CJ20">
        <v>0.39679999999999999</v>
      </c>
      <c r="CK20">
        <v>0.37340000000000001</v>
      </c>
      <c r="CL20">
        <v>0.34910000000000002</v>
      </c>
      <c r="CM20">
        <v>0.32400000000000001</v>
      </c>
      <c r="CN20">
        <v>0.29820000000000002</v>
      </c>
      <c r="CO20">
        <v>0.27150000000000002</v>
      </c>
      <c r="CP20">
        <v>0.24410000000000001</v>
      </c>
      <c r="CQ20">
        <v>0.21579999999999999</v>
      </c>
      <c r="CR20">
        <v>0.1867</v>
      </c>
      <c r="CS20">
        <v>0.15690000000000001</v>
      </c>
      <c r="CT20">
        <v>0.12620000000000001</v>
      </c>
      <c r="CU20">
        <v>9.4799999999999995E-2</v>
      </c>
      <c r="CV20">
        <v>6.25E-2</v>
      </c>
    </row>
    <row r="21" spans="1:100">
      <c r="A21" t="s">
        <v>49</v>
      </c>
      <c r="B21" t="s">
        <v>42</v>
      </c>
      <c r="C21">
        <v>150</v>
      </c>
      <c r="D21">
        <v>39700</v>
      </c>
      <c r="E21">
        <v>0.54049999999999998</v>
      </c>
      <c r="F21">
        <v>0.58740000000000003</v>
      </c>
      <c r="G21">
        <v>0.63109999999999999</v>
      </c>
      <c r="H21">
        <v>0.67179999999999995</v>
      </c>
      <c r="I21">
        <v>0.70930000000000004</v>
      </c>
      <c r="J21">
        <v>0.74380000000000002</v>
      </c>
      <c r="K21">
        <v>0.77510000000000001</v>
      </c>
      <c r="L21">
        <v>0.8034</v>
      </c>
      <c r="M21">
        <v>0.82850000000000001</v>
      </c>
      <c r="N21">
        <v>0.85060000000000002</v>
      </c>
      <c r="O21">
        <v>0.86950000000000005</v>
      </c>
      <c r="P21">
        <v>0.88690000000000002</v>
      </c>
      <c r="Q21">
        <v>0.90429999999999999</v>
      </c>
      <c r="R21">
        <v>0.92169999999999996</v>
      </c>
      <c r="S21">
        <v>0.93910000000000005</v>
      </c>
      <c r="T21">
        <v>0.95530000000000004</v>
      </c>
      <c r="U21">
        <v>0.96889999999999998</v>
      </c>
      <c r="V21">
        <v>0.98009999999999997</v>
      </c>
      <c r="W21">
        <v>0.98880000000000001</v>
      </c>
      <c r="X21">
        <v>0.995</v>
      </c>
      <c r="Y21">
        <v>0.99880000000000002</v>
      </c>
      <c r="Z21">
        <v>1</v>
      </c>
      <c r="AA21">
        <v>1</v>
      </c>
      <c r="AB21">
        <v>0.99980000000000002</v>
      </c>
      <c r="AC21">
        <v>0.99919999999999998</v>
      </c>
      <c r="AD21">
        <v>0.99829999999999997</v>
      </c>
      <c r="AE21">
        <v>0.997</v>
      </c>
      <c r="AF21">
        <v>0.99529999999999996</v>
      </c>
      <c r="AG21">
        <v>0.99319999999999997</v>
      </c>
      <c r="AH21">
        <v>0.99070000000000003</v>
      </c>
      <c r="AI21">
        <v>0.9879</v>
      </c>
      <c r="AJ21">
        <v>0.98470000000000002</v>
      </c>
      <c r="AK21">
        <v>0.98109999999999997</v>
      </c>
      <c r="AL21">
        <v>0.97709999999999997</v>
      </c>
      <c r="AM21">
        <v>0.97270000000000001</v>
      </c>
      <c r="AN21">
        <v>0.96799999999999997</v>
      </c>
      <c r="AO21">
        <v>0.96289999999999998</v>
      </c>
      <c r="AP21">
        <v>0.95740000000000003</v>
      </c>
      <c r="AQ21">
        <v>0.95150000000000001</v>
      </c>
      <c r="AR21">
        <v>0.94530000000000003</v>
      </c>
      <c r="AS21">
        <v>0.93859999999999999</v>
      </c>
      <c r="AT21">
        <v>0.93159999999999998</v>
      </c>
      <c r="AU21">
        <v>0.92420000000000002</v>
      </c>
      <c r="AV21">
        <v>0.91649999999999998</v>
      </c>
      <c r="AW21">
        <v>0.9083</v>
      </c>
      <c r="AX21">
        <v>0.89980000000000004</v>
      </c>
      <c r="AY21">
        <v>0.89090000000000003</v>
      </c>
      <c r="AZ21">
        <v>0.88160000000000005</v>
      </c>
      <c r="BA21">
        <v>0.872</v>
      </c>
      <c r="BB21">
        <v>0.8619</v>
      </c>
      <c r="BC21">
        <v>0.85150000000000003</v>
      </c>
      <c r="BD21">
        <v>0.8407</v>
      </c>
      <c r="BE21">
        <v>0.82969999999999999</v>
      </c>
      <c r="BF21">
        <v>0.81859999999999999</v>
      </c>
      <c r="BG21">
        <v>0.80759999999999998</v>
      </c>
      <c r="BH21">
        <v>0.79649999999999999</v>
      </c>
      <c r="BI21">
        <v>0.78539999999999999</v>
      </c>
      <c r="BJ21">
        <v>0.77439999999999998</v>
      </c>
      <c r="BK21">
        <v>0.76329999999999998</v>
      </c>
      <c r="BL21">
        <v>0.75229999999999997</v>
      </c>
      <c r="BM21">
        <v>0.74119999999999997</v>
      </c>
      <c r="BN21">
        <v>0.73009999999999997</v>
      </c>
      <c r="BO21">
        <v>0.71909999999999996</v>
      </c>
      <c r="BP21">
        <v>0.70799999999999996</v>
      </c>
      <c r="BQ21">
        <v>0.69699999999999995</v>
      </c>
      <c r="BR21">
        <v>0.68589999999999995</v>
      </c>
      <c r="BS21">
        <v>0.67479999999999996</v>
      </c>
      <c r="BT21">
        <v>0.66379999999999995</v>
      </c>
      <c r="BU21">
        <v>0.65269999999999995</v>
      </c>
      <c r="BV21">
        <v>0.64129999999999998</v>
      </c>
      <c r="BW21">
        <v>0.629</v>
      </c>
      <c r="BX21">
        <v>0.6159</v>
      </c>
      <c r="BY21">
        <v>0.60209999999999997</v>
      </c>
      <c r="BZ21">
        <v>0.58740000000000003</v>
      </c>
      <c r="CA21">
        <v>0.57199999999999995</v>
      </c>
      <c r="CB21">
        <v>0.55569999999999997</v>
      </c>
      <c r="CC21">
        <v>0.53859999999999997</v>
      </c>
      <c r="CD21">
        <v>0.52080000000000004</v>
      </c>
      <c r="CE21">
        <v>0.50209999999999999</v>
      </c>
      <c r="CF21">
        <v>0.48270000000000002</v>
      </c>
      <c r="CG21">
        <v>0.46239999999999998</v>
      </c>
      <c r="CH21">
        <v>0.44130000000000003</v>
      </c>
      <c r="CI21">
        <v>0.41949999999999998</v>
      </c>
      <c r="CJ21">
        <v>0.39679999999999999</v>
      </c>
      <c r="CK21">
        <v>0.37340000000000001</v>
      </c>
      <c r="CL21">
        <v>0.34910000000000002</v>
      </c>
      <c r="CM21">
        <v>0.32400000000000001</v>
      </c>
      <c r="CN21">
        <v>0.29820000000000002</v>
      </c>
      <c r="CO21">
        <v>0.27150000000000002</v>
      </c>
      <c r="CP21">
        <v>0.24410000000000001</v>
      </c>
      <c r="CQ21">
        <v>0.21579999999999999</v>
      </c>
      <c r="CR21">
        <v>0.1867</v>
      </c>
      <c r="CS21">
        <v>0.15690000000000001</v>
      </c>
      <c r="CT21">
        <v>0.12620000000000001</v>
      </c>
      <c r="CU21">
        <v>9.4799999999999995E-2</v>
      </c>
      <c r="CV21">
        <v>6.25E-2</v>
      </c>
    </row>
    <row r="22" spans="1:100">
      <c r="A22" t="s">
        <v>48</v>
      </c>
      <c r="B22" t="s">
        <v>44</v>
      </c>
      <c r="C22">
        <v>160.93440000000001</v>
      </c>
      <c r="D22">
        <v>43500</v>
      </c>
      <c r="E22">
        <v>0.54049999999999998</v>
      </c>
      <c r="F22">
        <v>0.58740000000000003</v>
      </c>
      <c r="G22">
        <v>0.63109999999999999</v>
      </c>
      <c r="H22">
        <v>0.67179999999999995</v>
      </c>
      <c r="I22">
        <v>0.70930000000000004</v>
      </c>
      <c r="J22">
        <v>0.74380000000000002</v>
      </c>
      <c r="K22">
        <v>0.77510000000000001</v>
      </c>
      <c r="L22">
        <v>0.8034</v>
      </c>
      <c r="M22">
        <v>0.82850000000000001</v>
      </c>
      <c r="N22">
        <v>0.85060000000000002</v>
      </c>
      <c r="O22">
        <v>0.86950000000000005</v>
      </c>
      <c r="P22">
        <v>0.88690000000000002</v>
      </c>
      <c r="Q22">
        <v>0.90429999999999999</v>
      </c>
      <c r="R22">
        <v>0.92169999999999996</v>
      </c>
      <c r="S22">
        <v>0.93910000000000005</v>
      </c>
      <c r="T22">
        <v>0.95530000000000004</v>
      </c>
      <c r="U22">
        <v>0.96889999999999998</v>
      </c>
      <c r="V22">
        <v>0.98009999999999997</v>
      </c>
      <c r="W22">
        <v>0.98880000000000001</v>
      </c>
      <c r="X22">
        <v>0.995</v>
      </c>
      <c r="Y22">
        <v>0.99880000000000002</v>
      </c>
      <c r="Z22">
        <v>1</v>
      </c>
      <c r="AA22">
        <v>1</v>
      </c>
      <c r="AB22">
        <v>0.99980000000000002</v>
      </c>
      <c r="AC22">
        <v>0.99919999999999998</v>
      </c>
      <c r="AD22">
        <v>0.99829999999999997</v>
      </c>
      <c r="AE22">
        <v>0.997</v>
      </c>
      <c r="AF22">
        <v>0.99529999999999996</v>
      </c>
      <c r="AG22">
        <v>0.99319999999999997</v>
      </c>
      <c r="AH22">
        <v>0.99070000000000003</v>
      </c>
      <c r="AI22">
        <v>0.9879</v>
      </c>
      <c r="AJ22">
        <v>0.98470000000000002</v>
      </c>
      <c r="AK22">
        <v>0.98109999999999997</v>
      </c>
      <c r="AL22">
        <v>0.97709999999999997</v>
      </c>
      <c r="AM22">
        <v>0.97270000000000001</v>
      </c>
      <c r="AN22">
        <v>0.96799999999999997</v>
      </c>
      <c r="AO22">
        <v>0.96289999999999998</v>
      </c>
      <c r="AP22">
        <v>0.95740000000000003</v>
      </c>
      <c r="AQ22">
        <v>0.95150000000000001</v>
      </c>
      <c r="AR22">
        <v>0.94530000000000003</v>
      </c>
      <c r="AS22">
        <v>0.93859999999999999</v>
      </c>
      <c r="AT22">
        <v>0.93159999999999998</v>
      </c>
      <c r="AU22">
        <v>0.92420000000000002</v>
      </c>
      <c r="AV22">
        <v>0.91649999999999998</v>
      </c>
      <c r="AW22">
        <v>0.9083</v>
      </c>
      <c r="AX22">
        <v>0.89980000000000004</v>
      </c>
      <c r="AY22">
        <v>0.89090000000000003</v>
      </c>
      <c r="AZ22">
        <v>0.88160000000000005</v>
      </c>
      <c r="BA22">
        <v>0.872</v>
      </c>
      <c r="BB22">
        <v>0.8619</v>
      </c>
      <c r="BC22">
        <v>0.85150000000000003</v>
      </c>
      <c r="BD22">
        <v>0.8407</v>
      </c>
      <c r="BE22">
        <v>0.82969999999999999</v>
      </c>
      <c r="BF22">
        <v>0.81859999999999999</v>
      </c>
      <c r="BG22">
        <v>0.80759999999999998</v>
      </c>
      <c r="BH22">
        <v>0.79649999999999999</v>
      </c>
      <c r="BI22">
        <v>0.78539999999999999</v>
      </c>
      <c r="BJ22">
        <v>0.77439999999999998</v>
      </c>
      <c r="BK22">
        <v>0.76329999999999998</v>
      </c>
      <c r="BL22">
        <v>0.75229999999999997</v>
      </c>
      <c r="BM22">
        <v>0.74119999999999997</v>
      </c>
      <c r="BN22">
        <v>0.73009999999999997</v>
      </c>
      <c r="BO22">
        <v>0.71909999999999996</v>
      </c>
      <c r="BP22">
        <v>0.70799999999999996</v>
      </c>
      <c r="BQ22">
        <v>0.69699999999999995</v>
      </c>
      <c r="BR22">
        <v>0.68589999999999995</v>
      </c>
      <c r="BS22">
        <v>0.67479999999999996</v>
      </c>
      <c r="BT22">
        <v>0.66379999999999995</v>
      </c>
      <c r="BU22">
        <v>0.65269999999999995</v>
      </c>
      <c r="BV22">
        <v>0.64129999999999998</v>
      </c>
      <c r="BW22">
        <v>0.629</v>
      </c>
      <c r="BX22">
        <v>0.6159</v>
      </c>
      <c r="BY22">
        <v>0.60209999999999997</v>
      </c>
      <c r="BZ22">
        <v>0.58740000000000003</v>
      </c>
      <c r="CA22">
        <v>0.57199999999999995</v>
      </c>
      <c r="CB22">
        <v>0.55569999999999997</v>
      </c>
      <c r="CC22">
        <v>0.53859999999999997</v>
      </c>
      <c r="CD22">
        <v>0.52080000000000004</v>
      </c>
      <c r="CE22">
        <v>0.50209999999999999</v>
      </c>
      <c r="CF22">
        <v>0.48270000000000002</v>
      </c>
      <c r="CG22">
        <v>0.46239999999999998</v>
      </c>
      <c r="CH22">
        <v>0.44130000000000003</v>
      </c>
      <c r="CI22">
        <v>0.41949999999999998</v>
      </c>
      <c r="CJ22">
        <v>0.39679999999999999</v>
      </c>
      <c r="CK22">
        <v>0.37340000000000001</v>
      </c>
      <c r="CL22">
        <v>0.34910000000000002</v>
      </c>
      <c r="CM22">
        <v>0.32400000000000001</v>
      </c>
      <c r="CN22">
        <v>0.29820000000000002</v>
      </c>
      <c r="CO22">
        <v>0.27150000000000002</v>
      </c>
      <c r="CP22">
        <v>0.24410000000000001</v>
      </c>
      <c r="CQ22">
        <v>0.21579999999999999</v>
      </c>
      <c r="CR22">
        <v>0.1867</v>
      </c>
      <c r="CS22">
        <v>0.15690000000000001</v>
      </c>
      <c r="CT22">
        <v>0.12620000000000001</v>
      </c>
      <c r="CU22">
        <v>9.4799999999999995E-2</v>
      </c>
      <c r="CV22">
        <v>6.25E-2</v>
      </c>
    </row>
    <row r="23" spans="1:100">
      <c r="A23" t="s">
        <v>47</v>
      </c>
      <c r="B23" t="s">
        <v>46</v>
      </c>
      <c r="C23">
        <v>200</v>
      </c>
      <c r="D23">
        <v>57600</v>
      </c>
      <c r="E23">
        <v>0.54049999999999998</v>
      </c>
      <c r="F23">
        <v>0.58740000000000003</v>
      </c>
      <c r="G23">
        <v>0.63109999999999999</v>
      </c>
      <c r="H23">
        <v>0.67179999999999995</v>
      </c>
      <c r="I23">
        <v>0.70930000000000004</v>
      </c>
      <c r="J23">
        <v>0.74380000000000002</v>
      </c>
      <c r="K23">
        <v>0.77510000000000001</v>
      </c>
      <c r="L23">
        <v>0.8034</v>
      </c>
      <c r="M23">
        <v>0.82850000000000001</v>
      </c>
      <c r="N23">
        <v>0.85060000000000002</v>
      </c>
      <c r="O23">
        <v>0.86950000000000005</v>
      </c>
      <c r="P23">
        <v>0.88690000000000002</v>
      </c>
      <c r="Q23">
        <v>0.90429999999999999</v>
      </c>
      <c r="R23">
        <v>0.92169999999999996</v>
      </c>
      <c r="S23">
        <v>0.93910000000000005</v>
      </c>
      <c r="T23">
        <v>0.95530000000000004</v>
      </c>
      <c r="U23">
        <v>0.96889999999999998</v>
      </c>
      <c r="V23">
        <v>0.98009999999999997</v>
      </c>
      <c r="W23">
        <v>0.98880000000000001</v>
      </c>
      <c r="X23">
        <v>0.995</v>
      </c>
      <c r="Y23">
        <v>0.99880000000000002</v>
      </c>
      <c r="Z23">
        <v>1</v>
      </c>
      <c r="AA23">
        <v>1</v>
      </c>
      <c r="AB23">
        <v>0.99980000000000002</v>
      </c>
      <c r="AC23">
        <v>0.99919999999999998</v>
      </c>
      <c r="AD23">
        <v>0.99829999999999997</v>
      </c>
      <c r="AE23">
        <v>0.997</v>
      </c>
      <c r="AF23">
        <v>0.99529999999999996</v>
      </c>
      <c r="AG23">
        <v>0.99319999999999997</v>
      </c>
      <c r="AH23">
        <v>0.99070000000000003</v>
      </c>
      <c r="AI23">
        <v>0.9879</v>
      </c>
      <c r="AJ23">
        <v>0.98470000000000002</v>
      </c>
      <c r="AK23">
        <v>0.98109999999999997</v>
      </c>
      <c r="AL23">
        <v>0.97709999999999997</v>
      </c>
      <c r="AM23">
        <v>0.97270000000000001</v>
      </c>
      <c r="AN23">
        <v>0.96799999999999997</v>
      </c>
      <c r="AO23">
        <v>0.96289999999999998</v>
      </c>
      <c r="AP23">
        <v>0.95740000000000003</v>
      </c>
      <c r="AQ23">
        <v>0.95150000000000001</v>
      </c>
      <c r="AR23">
        <v>0.94530000000000003</v>
      </c>
      <c r="AS23">
        <v>0.93859999999999999</v>
      </c>
      <c r="AT23">
        <v>0.93159999999999998</v>
      </c>
      <c r="AU23">
        <v>0.92420000000000002</v>
      </c>
      <c r="AV23">
        <v>0.91649999999999998</v>
      </c>
      <c r="AW23">
        <v>0.9083</v>
      </c>
      <c r="AX23">
        <v>0.89980000000000004</v>
      </c>
      <c r="AY23">
        <v>0.89090000000000003</v>
      </c>
      <c r="AZ23">
        <v>0.88160000000000005</v>
      </c>
      <c r="BA23">
        <v>0.872</v>
      </c>
      <c r="BB23">
        <v>0.8619</v>
      </c>
      <c r="BC23">
        <v>0.85150000000000003</v>
      </c>
      <c r="BD23">
        <v>0.8407</v>
      </c>
      <c r="BE23">
        <v>0.82969999999999999</v>
      </c>
      <c r="BF23">
        <v>0.81859999999999999</v>
      </c>
      <c r="BG23">
        <v>0.80759999999999998</v>
      </c>
      <c r="BH23">
        <v>0.79649999999999999</v>
      </c>
      <c r="BI23">
        <v>0.78539999999999999</v>
      </c>
      <c r="BJ23">
        <v>0.77439999999999998</v>
      </c>
      <c r="BK23">
        <v>0.76329999999999998</v>
      </c>
      <c r="BL23">
        <v>0.75229999999999997</v>
      </c>
      <c r="BM23">
        <v>0.74119999999999997</v>
      </c>
      <c r="BN23">
        <v>0.73009999999999997</v>
      </c>
      <c r="BO23">
        <v>0.71909999999999996</v>
      </c>
      <c r="BP23">
        <v>0.70799999999999996</v>
      </c>
      <c r="BQ23">
        <v>0.69699999999999995</v>
      </c>
      <c r="BR23">
        <v>0.68589999999999995</v>
      </c>
      <c r="BS23">
        <v>0.67479999999999996</v>
      </c>
      <c r="BT23">
        <v>0.66379999999999995</v>
      </c>
      <c r="BU23">
        <v>0.65269999999999995</v>
      </c>
      <c r="BV23">
        <v>0.64129999999999998</v>
      </c>
      <c r="BW23">
        <v>0.629</v>
      </c>
      <c r="BX23">
        <v>0.6159</v>
      </c>
      <c r="BY23">
        <v>0.60209999999999997</v>
      </c>
      <c r="BZ23">
        <v>0.58740000000000003</v>
      </c>
      <c r="CA23">
        <v>0.57199999999999995</v>
      </c>
      <c r="CB23">
        <v>0.55569999999999997</v>
      </c>
      <c r="CC23">
        <v>0.53859999999999997</v>
      </c>
      <c r="CD23">
        <v>0.52080000000000004</v>
      </c>
      <c r="CE23">
        <v>0.50209999999999999</v>
      </c>
      <c r="CF23">
        <v>0.48270000000000002</v>
      </c>
      <c r="CG23">
        <v>0.46239999999999998</v>
      </c>
      <c r="CH23">
        <v>0.44130000000000003</v>
      </c>
      <c r="CI23">
        <v>0.41949999999999998</v>
      </c>
      <c r="CJ23">
        <v>0.39679999999999999</v>
      </c>
      <c r="CK23">
        <v>0.37340000000000001</v>
      </c>
      <c r="CL23">
        <v>0.34910000000000002</v>
      </c>
      <c r="CM23">
        <v>0.32400000000000001</v>
      </c>
      <c r="CN23">
        <v>0.29820000000000002</v>
      </c>
      <c r="CO23">
        <v>0.27150000000000002</v>
      </c>
      <c r="CP23">
        <v>0.24410000000000001</v>
      </c>
      <c r="CQ23">
        <v>0.21579999999999999</v>
      </c>
      <c r="CR23">
        <v>0.1867</v>
      </c>
      <c r="CS23">
        <v>0.15690000000000001</v>
      </c>
      <c r="CT23">
        <v>0.12620000000000001</v>
      </c>
      <c r="CU23">
        <v>9.4799999999999995E-2</v>
      </c>
      <c r="CV23">
        <v>6.25E-2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7A75AF-FDE6-46A6-9EDA-044B9EF177A4}">
  <sheetPr codeName="Sheet2"/>
  <dimension ref="A1:CV23"/>
  <sheetViews>
    <sheetView tabSelected="1" workbookViewId="0">
      <selection activeCell="I8" sqref="I8"/>
    </sheetView>
  </sheetViews>
  <sheetFormatPr defaultRowHeight="14.25"/>
  <cols>
    <col min="1" max="1" width="11.125" bestFit="1" customWidth="1"/>
    <col min="2" max="2" width="9.75" bestFit="1" customWidth="1"/>
  </cols>
  <sheetData>
    <row r="1" spans="1:100">
      <c r="B1" t="s">
        <v>0</v>
      </c>
      <c r="C1" t="s">
        <v>1</v>
      </c>
      <c r="D1" t="s">
        <v>2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  <c r="Q1">
        <v>17</v>
      </c>
      <c r="R1">
        <v>18</v>
      </c>
      <c r="S1">
        <v>19</v>
      </c>
      <c r="T1">
        <v>20</v>
      </c>
      <c r="U1">
        <v>21</v>
      </c>
      <c r="V1">
        <v>22</v>
      </c>
      <c r="W1">
        <v>23</v>
      </c>
      <c r="X1">
        <v>24</v>
      </c>
      <c r="Y1">
        <v>25</v>
      </c>
      <c r="Z1">
        <v>26</v>
      </c>
      <c r="AA1">
        <v>27</v>
      </c>
      <c r="AB1">
        <v>28</v>
      </c>
      <c r="AC1">
        <v>29</v>
      </c>
      <c r="AD1">
        <v>30</v>
      </c>
      <c r="AE1">
        <v>31</v>
      </c>
      <c r="AF1">
        <v>32</v>
      </c>
      <c r="AG1">
        <v>33</v>
      </c>
      <c r="AH1">
        <v>34</v>
      </c>
      <c r="AI1">
        <v>35</v>
      </c>
      <c r="AJ1">
        <v>36</v>
      </c>
      <c r="AK1">
        <v>37</v>
      </c>
      <c r="AL1">
        <v>38</v>
      </c>
      <c r="AM1">
        <v>39</v>
      </c>
      <c r="AN1">
        <v>40</v>
      </c>
      <c r="AO1">
        <v>41</v>
      </c>
      <c r="AP1">
        <v>42</v>
      </c>
      <c r="AQ1">
        <v>43</v>
      </c>
      <c r="AR1">
        <v>44</v>
      </c>
      <c r="AS1">
        <v>45</v>
      </c>
      <c r="AT1">
        <v>46</v>
      </c>
      <c r="AU1">
        <v>47</v>
      </c>
      <c r="AV1">
        <v>48</v>
      </c>
      <c r="AW1">
        <v>49</v>
      </c>
      <c r="AX1">
        <v>50</v>
      </c>
      <c r="AY1">
        <v>51</v>
      </c>
      <c r="AZ1">
        <v>52</v>
      </c>
      <c r="BA1">
        <v>53</v>
      </c>
      <c r="BB1">
        <v>54</v>
      </c>
      <c r="BC1">
        <v>55</v>
      </c>
      <c r="BD1">
        <v>56</v>
      </c>
      <c r="BE1">
        <v>57</v>
      </c>
      <c r="BF1">
        <v>58</v>
      </c>
      <c r="BG1">
        <v>59</v>
      </c>
      <c r="BH1">
        <v>60</v>
      </c>
      <c r="BI1">
        <v>61</v>
      </c>
      <c r="BJ1">
        <v>62</v>
      </c>
      <c r="BK1">
        <v>63</v>
      </c>
      <c r="BL1">
        <v>64</v>
      </c>
      <c r="BM1">
        <v>65</v>
      </c>
      <c r="BN1">
        <v>66</v>
      </c>
      <c r="BO1">
        <v>67</v>
      </c>
      <c r="BP1">
        <v>68</v>
      </c>
      <c r="BQ1">
        <v>69</v>
      </c>
      <c r="BR1">
        <v>70</v>
      </c>
      <c r="BS1">
        <v>71</v>
      </c>
      <c r="BT1">
        <v>72</v>
      </c>
      <c r="BU1">
        <v>73</v>
      </c>
      <c r="BV1">
        <v>74</v>
      </c>
      <c r="BW1">
        <v>75</v>
      </c>
      <c r="BX1">
        <v>76</v>
      </c>
      <c r="BY1">
        <v>77</v>
      </c>
      <c r="BZ1">
        <v>78</v>
      </c>
      <c r="CA1">
        <v>79</v>
      </c>
      <c r="CB1">
        <v>80</v>
      </c>
      <c r="CC1">
        <v>81</v>
      </c>
      <c r="CD1">
        <v>82</v>
      </c>
      <c r="CE1">
        <v>83</v>
      </c>
      <c r="CF1">
        <v>84</v>
      </c>
      <c r="CG1">
        <v>85</v>
      </c>
      <c r="CH1">
        <v>86</v>
      </c>
      <c r="CI1">
        <v>87</v>
      </c>
      <c r="CJ1">
        <v>88</v>
      </c>
      <c r="CK1">
        <v>89</v>
      </c>
      <c r="CL1">
        <v>90</v>
      </c>
      <c r="CM1">
        <v>91</v>
      </c>
      <c r="CN1">
        <v>92</v>
      </c>
      <c r="CO1">
        <v>93</v>
      </c>
      <c r="CP1">
        <v>94</v>
      </c>
      <c r="CQ1">
        <v>95</v>
      </c>
      <c r="CR1">
        <v>96</v>
      </c>
      <c r="CS1">
        <v>97</v>
      </c>
      <c r="CT1">
        <v>98</v>
      </c>
      <c r="CU1">
        <v>99</v>
      </c>
      <c r="CV1">
        <v>100</v>
      </c>
    </row>
    <row r="2" spans="1:100">
      <c r="A2" t="s">
        <v>3</v>
      </c>
      <c r="B2" t="s">
        <v>4</v>
      </c>
      <c r="C2">
        <v>1.6093440000000001</v>
      </c>
      <c r="D2">
        <v>227</v>
      </c>
      <c r="E2">
        <v>0.59899999999999998</v>
      </c>
      <c r="F2">
        <v>0.6502</v>
      </c>
      <c r="G2">
        <v>0.69779999999999998</v>
      </c>
      <c r="H2">
        <v>0.74180000000000001</v>
      </c>
      <c r="I2">
        <v>0.78220000000000001</v>
      </c>
      <c r="J2">
        <v>0.81899999999999995</v>
      </c>
      <c r="K2">
        <v>0.85219999999999996</v>
      </c>
      <c r="L2">
        <v>0.88180000000000003</v>
      </c>
      <c r="M2">
        <v>0.90780000000000005</v>
      </c>
      <c r="N2">
        <v>0.93020000000000003</v>
      </c>
      <c r="O2">
        <v>0.94899999999999995</v>
      </c>
      <c r="P2">
        <v>0.96599999999999997</v>
      </c>
      <c r="Q2">
        <v>0.98299999999999998</v>
      </c>
      <c r="R2">
        <v>0.99580000000000002</v>
      </c>
      <c r="S2">
        <v>1</v>
      </c>
      <c r="T2">
        <v>1</v>
      </c>
      <c r="U2">
        <v>1</v>
      </c>
      <c r="V2">
        <v>1</v>
      </c>
      <c r="W2">
        <v>1</v>
      </c>
      <c r="X2">
        <v>1</v>
      </c>
      <c r="Y2">
        <v>1</v>
      </c>
      <c r="Z2">
        <v>1</v>
      </c>
      <c r="AA2">
        <v>1</v>
      </c>
      <c r="AB2">
        <v>1</v>
      </c>
      <c r="AC2">
        <v>1</v>
      </c>
      <c r="AD2">
        <v>0.99770000000000003</v>
      </c>
      <c r="AE2">
        <v>0.99129999999999996</v>
      </c>
      <c r="AF2">
        <v>0.98440000000000005</v>
      </c>
      <c r="AG2">
        <v>0.97740000000000005</v>
      </c>
      <c r="AH2">
        <v>0.97050000000000003</v>
      </c>
      <c r="AI2">
        <v>0.96360000000000001</v>
      </c>
      <c r="AJ2">
        <v>0.95660000000000001</v>
      </c>
      <c r="AK2">
        <v>0.94969999999999999</v>
      </c>
      <c r="AL2">
        <v>0.94269999999999998</v>
      </c>
      <c r="AM2">
        <v>0.93579999999999997</v>
      </c>
      <c r="AN2">
        <v>0.92889999999999995</v>
      </c>
      <c r="AO2">
        <v>0.92190000000000005</v>
      </c>
      <c r="AP2">
        <v>0.91500000000000004</v>
      </c>
      <c r="AQ2">
        <v>0.90800000000000003</v>
      </c>
      <c r="AR2">
        <v>0.90110000000000001</v>
      </c>
      <c r="AS2">
        <v>0.89419999999999999</v>
      </c>
      <c r="AT2">
        <v>0.88719999999999999</v>
      </c>
      <c r="AU2">
        <v>0.88029999999999997</v>
      </c>
      <c r="AV2">
        <v>0.87329999999999997</v>
      </c>
      <c r="AW2">
        <v>0.86639999999999995</v>
      </c>
      <c r="AX2">
        <v>0.85950000000000004</v>
      </c>
      <c r="AY2">
        <v>0.85250000000000004</v>
      </c>
      <c r="AZ2">
        <v>0.84560000000000002</v>
      </c>
      <c r="BA2">
        <v>0.83860000000000001</v>
      </c>
      <c r="BB2">
        <v>0.83169999999999999</v>
      </c>
      <c r="BC2">
        <v>0.82479999999999998</v>
      </c>
      <c r="BD2">
        <v>0.81779999999999997</v>
      </c>
      <c r="BE2">
        <v>0.81089999999999995</v>
      </c>
      <c r="BF2">
        <v>0.80389999999999995</v>
      </c>
      <c r="BG2">
        <v>0.79700000000000004</v>
      </c>
      <c r="BH2">
        <v>0.79010000000000002</v>
      </c>
      <c r="BI2">
        <v>0.78310000000000002</v>
      </c>
      <c r="BJ2">
        <v>0.7762</v>
      </c>
      <c r="BK2">
        <v>0.76919999999999999</v>
      </c>
      <c r="BL2">
        <v>0.76229999999999998</v>
      </c>
      <c r="BM2">
        <v>0.75539999999999996</v>
      </c>
      <c r="BN2">
        <v>0.74839999999999995</v>
      </c>
      <c r="BO2">
        <v>0.74150000000000005</v>
      </c>
      <c r="BP2">
        <v>0.73450000000000004</v>
      </c>
      <c r="BQ2">
        <v>0.72740000000000005</v>
      </c>
      <c r="BR2">
        <v>0.71960000000000002</v>
      </c>
      <c r="BS2">
        <v>0.71109999999999995</v>
      </c>
      <c r="BT2">
        <v>0.70189999999999997</v>
      </c>
      <c r="BU2">
        <v>0.69199999999999995</v>
      </c>
      <c r="BV2">
        <v>0.68140000000000001</v>
      </c>
      <c r="BW2">
        <v>0.67010000000000003</v>
      </c>
      <c r="BX2">
        <v>0.65810000000000002</v>
      </c>
      <c r="BY2">
        <v>0.64539999999999997</v>
      </c>
      <c r="BZ2">
        <v>0.63200000000000001</v>
      </c>
      <c r="CA2">
        <v>0.6179</v>
      </c>
      <c r="CB2">
        <v>0.60309999999999997</v>
      </c>
      <c r="CC2">
        <v>0.58760000000000001</v>
      </c>
      <c r="CD2">
        <v>0.57140000000000002</v>
      </c>
      <c r="CE2">
        <v>0.55449999999999999</v>
      </c>
      <c r="CF2">
        <v>0.53690000000000004</v>
      </c>
      <c r="CG2">
        <v>0.51859999999999995</v>
      </c>
      <c r="CH2">
        <v>0.49969999999999998</v>
      </c>
      <c r="CI2">
        <v>0.48</v>
      </c>
      <c r="CJ2">
        <v>0.45960000000000001</v>
      </c>
      <c r="CK2">
        <v>0.4385</v>
      </c>
      <c r="CL2">
        <v>0.4168</v>
      </c>
      <c r="CM2">
        <v>0.39429999999999998</v>
      </c>
      <c r="CN2">
        <v>0.37109999999999999</v>
      </c>
      <c r="CO2">
        <v>0.3473</v>
      </c>
      <c r="CP2">
        <v>0.32269999999999999</v>
      </c>
      <c r="CQ2">
        <v>0.2974</v>
      </c>
      <c r="CR2">
        <v>0.27150000000000002</v>
      </c>
      <c r="CS2">
        <v>0.24479999999999999</v>
      </c>
      <c r="CT2">
        <v>0.2175</v>
      </c>
      <c r="CU2">
        <v>0.18940000000000001</v>
      </c>
      <c r="CV2">
        <v>0.16070000000000001</v>
      </c>
    </row>
    <row r="3" spans="1:100">
      <c r="A3" t="s">
        <v>5</v>
      </c>
      <c r="B3" t="s">
        <v>6</v>
      </c>
      <c r="C3">
        <v>5</v>
      </c>
      <c r="D3">
        <v>769</v>
      </c>
      <c r="E3">
        <v>0.60799999999999998</v>
      </c>
      <c r="F3">
        <v>0.66639999999999999</v>
      </c>
      <c r="G3">
        <v>0.72</v>
      </c>
      <c r="H3">
        <v>0.76880000000000004</v>
      </c>
      <c r="I3">
        <v>0.81279999999999997</v>
      </c>
      <c r="J3">
        <v>0.85199999999999998</v>
      </c>
      <c r="K3">
        <v>0.88639999999999997</v>
      </c>
      <c r="L3">
        <v>0.91600000000000004</v>
      </c>
      <c r="M3">
        <v>0.94079999999999997</v>
      </c>
      <c r="N3">
        <v>0.96079999999999999</v>
      </c>
      <c r="O3">
        <v>0.97599999999999998</v>
      </c>
      <c r="P3">
        <v>0.98640000000000005</v>
      </c>
      <c r="Q3">
        <v>0.99439999999999995</v>
      </c>
      <c r="R3">
        <v>0.99950000000000006</v>
      </c>
      <c r="S3">
        <v>1</v>
      </c>
      <c r="T3">
        <v>1</v>
      </c>
      <c r="U3">
        <v>1</v>
      </c>
      <c r="V3">
        <v>1</v>
      </c>
      <c r="W3">
        <v>1</v>
      </c>
      <c r="X3">
        <v>1</v>
      </c>
      <c r="Y3">
        <v>1</v>
      </c>
      <c r="Z3">
        <v>1</v>
      </c>
      <c r="AA3">
        <v>1</v>
      </c>
      <c r="AB3">
        <v>1</v>
      </c>
      <c r="AC3">
        <v>1</v>
      </c>
      <c r="AD3">
        <v>0.99990000000000001</v>
      </c>
      <c r="AE3">
        <v>0.99880000000000002</v>
      </c>
      <c r="AF3">
        <v>0.99650000000000005</v>
      </c>
      <c r="AG3">
        <v>0.99299999999999999</v>
      </c>
      <c r="AH3">
        <v>0.98829999999999996</v>
      </c>
      <c r="AI3">
        <v>0.98240000000000005</v>
      </c>
      <c r="AJ3">
        <v>0.97550000000000003</v>
      </c>
      <c r="AK3">
        <v>0.96850000000000003</v>
      </c>
      <c r="AL3">
        <v>0.96150000000000002</v>
      </c>
      <c r="AM3">
        <v>0.95450000000000002</v>
      </c>
      <c r="AN3">
        <v>0.94750000000000001</v>
      </c>
      <c r="AO3">
        <v>0.9405</v>
      </c>
      <c r="AP3">
        <v>0.9335</v>
      </c>
      <c r="AQ3">
        <v>0.92649999999999999</v>
      </c>
      <c r="AR3">
        <v>0.91949999999999998</v>
      </c>
      <c r="AS3">
        <v>0.91249999999999998</v>
      </c>
      <c r="AT3">
        <v>0.90549999999999997</v>
      </c>
      <c r="AU3">
        <v>0.89849999999999997</v>
      </c>
      <c r="AV3">
        <v>0.89149999999999996</v>
      </c>
      <c r="AW3">
        <v>0.88449999999999995</v>
      </c>
      <c r="AX3">
        <v>0.87749999999999995</v>
      </c>
      <c r="AY3">
        <v>0.87050000000000005</v>
      </c>
      <c r="AZ3">
        <v>0.86350000000000005</v>
      </c>
      <c r="BA3">
        <v>0.85650000000000004</v>
      </c>
      <c r="BB3">
        <v>0.84950000000000003</v>
      </c>
      <c r="BC3">
        <v>0.84250000000000003</v>
      </c>
      <c r="BD3">
        <v>0.83550000000000002</v>
      </c>
      <c r="BE3">
        <v>0.82850000000000001</v>
      </c>
      <c r="BF3">
        <v>0.82150000000000001</v>
      </c>
      <c r="BG3">
        <v>0.8145</v>
      </c>
      <c r="BH3">
        <v>0.8075</v>
      </c>
      <c r="BI3">
        <v>0.80049999999999999</v>
      </c>
      <c r="BJ3">
        <v>0.79349999999999998</v>
      </c>
      <c r="BK3">
        <v>0.78649999999999998</v>
      </c>
      <c r="BL3">
        <v>0.77949999999999997</v>
      </c>
      <c r="BM3">
        <v>0.77249999999999996</v>
      </c>
      <c r="BN3">
        <v>0.76549999999999996</v>
      </c>
      <c r="BO3">
        <v>0.75849999999999995</v>
      </c>
      <c r="BP3">
        <v>0.75139999999999996</v>
      </c>
      <c r="BQ3">
        <v>0.74360000000000004</v>
      </c>
      <c r="BR3">
        <v>0.73529999999999995</v>
      </c>
      <c r="BS3">
        <v>0.72640000000000005</v>
      </c>
      <c r="BT3">
        <v>0.71689999999999998</v>
      </c>
      <c r="BU3">
        <v>0.70679999999999998</v>
      </c>
      <c r="BV3">
        <v>0.69599999999999995</v>
      </c>
      <c r="BW3">
        <v>0.68469999999999998</v>
      </c>
      <c r="BX3">
        <v>0.67279999999999995</v>
      </c>
      <c r="BY3">
        <v>0.6603</v>
      </c>
      <c r="BZ3">
        <v>0.6472</v>
      </c>
      <c r="CA3">
        <v>0.63339999999999996</v>
      </c>
      <c r="CB3">
        <v>0.61909999999999998</v>
      </c>
      <c r="CC3">
        <v>0.60419999999999996</v>
      </c>
      <c r="CD3">
        <v>0.5887</v>
      </c>
      <c r="CE3">
        <v>0.5726</v>
      </c>
      <c r="CF3">
        <v>0.55579999999999996</v>
      </c>
      <c r="CG3">
        <v>0.53849999999999998</v>
      </c>
      <c r="CH3">
        <v>0.52059999999999995</v>
      </c>
      <c r="CI3">
        <v>0.50209999999999999</v>
      </c>
      <c r="CJ3">
        <v>0.48299999999999998</v>
      </c>
      <c r="CK3">
        <v>0.4632</v>
      </c>
      <c r="CL3">
        <v>0.44290000000000002</v>
      </c>
      <c r="CM3">
        <v>0.42199999999999999</v>
      </c>
      <c r="CN3">
        <v>0.40050000000000002</v>
      </c>
      <c r="CO3">
        <v>0.37840000000000001</v>
      </c>
      <c r="CP3">
        <v>0.35560000000000003</v>
      </c>
      <c r="CQ3">
        <v>0.33229999999999998</v>
      </c>
      <c r="CR3">
        <v>0.30840000000000001</v>
      </c>
      <c r="CS3">
        <v>0.28389999999999999</v>
      </c>
      <c r="CT3">
        <v>0.25879999999999997</v>
      </c>
      <c r="CU3">
        <v>0.23300000000000001</v>
      </c>
      <c r="CV3">
        <v>0.20669999999999999</v>
      </c>
    </row>
    <row r="4" spans="1:100">
      <c r="A4" t="s">
        <v>7</v>
      </c>
      <c r="B4" t="s">
        <v>8</v>
      </c>
      <c r="C4">
        <v>6</v>
      </c>
      <c r="D4">
        <v>930</v>
      </c>
      <c r="E4">
        <v>0.58150000000000002</v>
      </c>
      <c r="F4">
        <v>0.64049999999999996</v>
      </c>
      <c r="G4">
        <v>0.69479999999999997</v>
      </c>
      <c r="H4">
        <v>0.74460000000000004</v>
      </c>
      <c r="I4">
        <v>0.78979999999999995</v>
      </c>
      <c r="J4">
        <v>0.83040000000000003</v>
      </c>
      <c r="K4">
        <v>0.86639999999999995</v>
      </c>
      <c r="L4">
        <v>0.89780000000000004</v>
      </c>
      <c r="M4">
        <v>0.92459999999999998</v>
      </c>
      <c r="N4">
        <v>0.94689999999999996</v>
      </c>
      <c r="O4">
        <v>0.96450000000000002</v>
      </c>
      <c r="P4">
        <v>0.97760000000000002</v>
      </c>
      <c r="Q4">
        <v>0.98780000000000001</v>
      </c>
      <c r="R4">
        <v>0.99480000000000002</v>
      </c>
      <c r="S4">
        <v>0.99739999999999995</v>
      </c>
      <c r="T4">
        <v>0.99919999999999998</v>
      </c>
      <c r="U4">
        <v>1</v>
      </c>
      <c r="V4">
        <v>1</v>
      </c>
      <c r="W4">
        <v>1</v>
      </c>
      <c r="X4">
        <v>1</v>
      </c>
      <c r="Y4">
        <v>1</v>
      </c>
      <c r="Z4">
        <v>1</v>
      </c>
      <c r="AA4">
        <v>1</v>
      </c>
      <c r="AB4">
        <v>1</v>
      </c>
      <c r="AC4">
        <v>1</v>
      </c>
      <c r="AD4">
        <v>0.99990000000000001</v>
      </c>
      <c r="AE4">
        <v>0.999</v>
      </c>
      <c r="AF4">
        <v>0.997</v>
      </c>
      <c r="AG4">
        <v>0.99399999999999999</v>
      </c>
      <c r="AH4">
        <v>0.9899</v>
      </c>
      <c r="AI4">
        <v>0.98460000000000003</v>
      </c>
      <c r="AJ4">
        <v>0.97850000000000004</v>
      </c>
      <c r="AK4">
        <v>0.97209999999999996</v>
      </c>
      <c r="AL4">
        <v>0.96550000000000002</v>
      </c>
      <c r="AM4">
        <v>0.9587</v>
      </c>
      <c r="AN4">
        <v>0.95169999999999999</v>
      </c>
      <c r="AO4">
        <v>0.9446</v>
      </c>
      <c r="AP4">
        <v>0.9375</v>
      </c>
      <c r="AQ4">
        <v>0.93030000000000002</v>
      </c>
      <c r="AR4">
        <v>0.92320000000000002</v>
      </c>
      <c r="AS4">
        <v>0.91610000000000003</v>
      </c>
      <c r="AT4">
        <v>0.90890000000000004</v>
      </c>
      <c r="AU4">
        <v>0.90180000000000005</v>
      </c>
      <c r="AV4">
        <v>0.89470000000000005</v>
      </c>
      <c r="AW4">
        <v>0.88759999999999994</v>
      </c>
      <c r="AX4">
        <v>0.88039999999999996</v>
      </c>
      <c r="AY4">
        <v>0.87329999999999997</v>
      </c>
      <c r="AZ4">
        <v>0.86619999999999997</v>
      </c>
      <c r="BA4">
        <v>0.85899999999999999</v>
      </c>
      <c r="BB4">
        <v>0.85189999999999999</v>
      </c>
      <c r="BC4">
        <v>0.8448</v>
      </c>
      <c r="BD4">
        <v>0.83760000000000001</v>
      </c>
      <c r="BE4">
        <v>0.83050000000000002</v>
      </c>
      <c r="BF4">
        <v>0.82340000000000002</v>
      </c>
      <c r="BG4">
        <v>0.81620000000000004</v>
      </c>
      <c r="BH4">
        <v>0.80910000000000004</v>
      </c>
      <c r="BI4">
        <v>0.80200000000000005</v>
      </c>
      <c r="BJ4">
        <v>0.79479999999999995</v>
      </c>
      <c r="BK4">
        <v>0.78769999999999996</v>
      </c>
      <c r="BL4">
        <v>0.78059999999999996</v>
      </c>
      <c r="BM4">
        <v>0.77339999999999998</v>
      </c>
      <c r="BN4">
        <v>0.76629999999999998</v>
      </c>
      <c r="BO4">
        <v>0.75919999999999999</v>
      </c>
      <c r="BP4">
        <v>0.752</v>
      </c>
      <c r="BQ4">
        <v>0.74429999999999996</v>
      </c>
      <c r="BR4">
        <v>0.73619999999999997</v>
      </c>
      <c r="BS4">
        <v>0.72760000000000002</v>
      </c>
      <c r="BT4">
        <v>0.71830000000000005</v>
      </c>
      <c r="BU4">
        <v>0.70850000000000002</v>
      </c>
      <c r="BV4">
        <v>0.69789999999999996</v>
      </c>
      <c r="BW4">
        <v>0.68679999999999997</v>
      </c>
      <c r="BX4">
        <v>0.67510000000000003</v>
      </c>
      <c r="BY4">
        <v>0.66279999999999994</v>
      </c>
      <c r="BZ4">
        <v>0.64980000000000004</v>
      </c>
      <c r="CA4">
        <v>0.63619999999999999</v>
      </c>
      <c r="CB4">
        <v>0.622</v>
      </c>
      <c r="CC4">
        <v>0.60719999999999996</v>
      </c>
      <c r="CD4">
        <v>0.59179999999999999</v>
      </c>
      <c r="CE4">
        <v>0.57569999999999999</v>
      </c>
      <c r="CF4">
        <v>0.55900000000000005</v>
      </c>
      <c r="CG4">
        <v>0.54169999999999996</v>
      </c>
      <c r="CH4">
        <v>0.52380000000000004</v>
      </c>
      <c r="CI4">
        <v>0.50529999999999997</v>
      </c>
      <c r="CJ4">
        <v>0.48620000000000002</v>
      </c>
      <c r="CK4">
        <v>0.46639999999999998</v>
      </c>
      <c r="CL4">
        <v>0.44600000000000001</v>
      </c>
      <c r="CM4">
        <v>0.42499999999999999</v>
      </c>
      <c r="CN4">
        <v>0.40339999999999998</v>
      </c>
      <c r="CO4">
        <v>0.38119999999999998</v>
      </c>
      <c r="CP4">
        <v>0.35830000000000001</v>
      </c>
      <c r="CQ4">
        <v>0.33479999999999999</v>
      </c>
      <c r="CR4">
        <v>0.31069999999999998</v>
      </c>
      <c r="CS4">
        <v>0.28599999999999998</v>
      </c>
      <c r="CT4">
        <v>0.26069999999999999</v>
      </c>
      <c r="CU4">
        <v>0.23469999999999999</v>
      </c>
      <c r="CV4">
        <v>0.20810000000000001</v>
      </c>
    </row>
    <row r="5" spans="1:100">
      <c r="A5" t="s">
        <v>9</v>
      </c>
      <c r="B5" t="s">
        <v>10</v>
      </c>
      <c r="C5">
        <v>6.4373760000000004</v>
      </c>
      <c r="D5">
        <v>1000</v>
      </c>
      <c r="E5">
        <v>0.57130000000000003</v>
      </c>
      <c r="F5">
        <v>0.63049999999999995</v>
      </c>
      <c r="G5">
        <v>0.68510000000000004</v>
      </c>
      <c r="H5">
        <v>0.73529999999999995</v>
      </c>
      <c r="I5">
        <v>0.78090000000000004</v>
      </c>
      <c r="J5">
        <v>0.82199999999999995</v>
      </c>
      <c r="K5">
        <v>0.85870000000000002</v>
      </c>
      <c r="L5">
        <v>0.89080000000000004</v>
      </c>
      <c r="M5">
        <v>0.91839999999999999</v>
      </c>
      <c r="N5">
        <v>0.9415</v>
      </c>
      <c r="O5">
        <v>0.96009999999999995</v>
      </c>
      <c r="P5">
        <v>0.97419999999999995</v>
      </c>
      <c r="Q5">
        <v>0.98519999999999996</v>
      </c>
      <c r="R5">
        <v>0.99299999999999999</v>
      </c>
      <c r="S5">
        <v>0.99650000000000005</v>
      </c>
      <c r="T5">
        <v>0.99880000000000002</v>
      </c>
      <c r="U5">
        <v>1</v>
      </c>
      <c r="V5">
        <v>1</v>
      </c>
      <c r="W5">
        <v>1</v>
      </c>
      <c r="X5">
        <v>1</v>
      </c>
      <c r="Y5">
        <v>1</v>
      </c>
      <c r="Z5">
        <v>1</v>
      </c>
      <c r="AA5">
        <v>1</v>
      </c>
      <c r="AB5">
        <v>1</v>
      </c>
      <c r="AC5">
        <v>1</v>
      </c>
      <c r="AD5">
        <v>0.99990000000000001</v>
      </c>
      <c r="AE5">
        <v>0.99909999999999999</v>
      </c>
      <c r="AF5">
        <v>0.99719999999999998</v>
      </c>
      <c r="AG5">
        <v>0.99429999999999996</v>
      </c>
      <c r="AH5">
        <v>0.99050000000000005</v>
      </c>
      <c r="AI5">
        <v>0.98550000000000004</v>
      </c>
      <c r="AJ5">
        <v>0.97970000000000002</v>
      </c>
      <c r="AK5">
        <v>0.97350000000000003</v>
      </c>
      <c r="AL5">
        <v>0.96699999999999997</v>
      </c>
      <c r="AM5">
        <v>0.96030000000000004</v>
      </c>
      <c r="AN5">
        <v>0.95340000000000003</v>
      </c>
      <c r="AO5">
        <v>0.94620000000000004</v>
      </c>
      <c r="AP5">
        <v>0.93899999999999995</v>
      </c>
      <c r="AQ5">
        <v>0.93179999999999996</v>
      </c>
      <c r="AR5">
        <v>0.92459999999999998</v>
      </c>
      <c r="AS5">
        <v>0.91749999999999998</v>
      </c>
      <c r="AT5">
        <v>0.9103</v>
      </c>
      <c r="AU5">
        <v>0.90310000000000001</v>
      </c>
      <c r="AV5">
        <v>0.89590000000000003</v>
      </c>
      <c r="AW5">
        <v>0.88870000000000005</v>
      </c>
      <c r="AX5">
        <v>0.88149999999999995</v>
      </c>
      <c r="AY5">
        <v>0.87439999999999996</v>
      </c>
      <c r="AZ5">
        <v>0.86719999999999997</v>
      </c>
      <c r="BA5">
        <v>0.86</v>
      </c>
      <c r="BB5">
        <v>0.8528</v>
      </c>
      <c r="BC5">
        <v>0.84560000000000002</v>
      </c>
      <c r="BD5">
        <v>0.83850000000000002</v>
      </c>
      <c r="BE5">
        <v>0.83130000000000004</v>
      </c>
      <c r="BF5">
        <v>0.82410000000000005</v>
      </c>
      <c r="BG5">
        <v>0.81689999999999996</v>
      </c>
      <c r="BH5">
        <v>0.80969999999999998</v>
      </c>
      <c r="BI5">
        <v>0.80249999999999999</v>
      </c>
      <c r="BJ5">
        <v>0.7954</v>
      </c>
      <c r="BK5">
        <v>0.78820000000000001</v>
      </c>
      <c r="BL5">
        <v>0.78100000000000003</v>
      </c>
      <c r="BM5">
        <v>0.77380000000000004</v>
      </c>
      <c r="BN5">
        <v>0.76659999999999995</v>
      </c>
      <c r="BO5">
        <v>0.75939999999999996</v>
      </c>
      <c r="BP5">
        <v>0.75219999999999998</v>
      </c>
      <c r="BQ5">
        <v>0.74450000000000005</v>
      </c>
      <c r="BR5">
        <v>0.73650000000000004</v>
      </c>
      <c r="BS5">
        <v>0.72799999999999998</v>
      </c>
      <c r="BT5">
        <v>0.71889999999999998</v>
      </c>
      <c r="BU5">
        <v>0.70909999999999995</v>
      </c>
      <c r="BV5">
        <v>0.69869999999999999</v>
      </c>
      <c r="BW5">
        <v>0.68769999999999998</v>
      </c>
      <c r="BX5">
        <v>0.67600000000000005</v>
      </c>
      <c r="BY5">
        <v>0.66369999999999996</v>
      </c>
      <c r="BZ5">
        <v>0.65080000000000005</v>
      </c>
      <c r="CA5">
        <v>0.63729999999999998</v>
      </c>
      <c r="CB5">
        <v>0.62309999999999999</v>
      </c>
      <c r="CC5">
        <v>0.60840000000000005</v>
      </c>
      <c r="CD5">
        <v>0.59299999999999997</v>
      </c>
      <c r="CE5">
        <v>0.57689999999999997</v>
      </c>
      <c r="CF5">
        <v>0.56020000000000003</v>
      </c>
      <c r="CG5">
        <v>0.54300000000000004</v>
      </c>
      <c r="CH5">
        <v>0.52510000000000001</v>
      </c>
      <c r="CI5">
        <v>0.50649999999999995</v>
      </c>
      <c r="CJ5">
        <v>0.4874</v>
      </c>
      <c r="CK5">
        <v>0.46760000000000002</v>
      </c>
      <c r="CL5">
        <v>0.44719999999999999</v>
      </c>
      <c r="CM5">
        <v>0.42620000000000002</v>
      </c>
      <c r="CN5">
        <v>0.40450000000000003</v>
      </c>
      <c r="CO5">
        <v>0.38219999999999998</v>
      </c>
      <c r="CP5">
        <v>0.35930000000000001</v>
      </c>
      <c r="CQ5">
        <v>0.33579999999999999</v>
      </c>
      <c r="CR5">
        <v>0.31159999999999999</v>
      </c>
      <c r="CS5">
        <v>0.2868</v>
      </c>
      <c r="CT5">
        <v>0.26140000000000002</v>
      </c>
      <c r="CU5">
        <v>0.23530000000000001</v>
      </c>
      <c r="CV5">
        <v>0.2087</v>
      </c>
    </row>
    <row r="6" spans="1:100">
      <c r="A6" t="s">
        <v>11</v>
      </c>
      <c r="B6" t="s">
        <v>12</v>
      </c>
      <c r="C6">
        <v>8</v>
      </c>
      <c r="D6">
        <v>1255</v>
      </c>
      <c r="E6">
        <v>0.53969999999999996</v>
      </c>
      <c r="F6">
        <v>0.59950000000000003</v>
      </c>
      <c r="G6">
        <v>0.65510000000000002</v>
      </c>
      <c r="H6">
        <v>0.70640000000000003</v>
      </c>
      <c r="I6">
        <v>0.75349999999999995</v>
      </c>
      <c r="J6">
        <v>0.79630000000000001</v>
      </c>
      <c r="K6">
        <v>0.83479999999999999</v>
      </c>
      <c r="L6">
        <v>0.86909999999999998</v>
      </c>
      <c r="M6">
        <v>0.89910000000000001</v>
      </c>
      <c r="N6">
        <v>0.92490000000000006</v>
      </c>
      <c r="O6">
        <v>0.94640000000000002</v>
      </c>
      <c r="P6">
        <v>0.96360000000000001</v>
      </c>
      <c r="Q6">
        <v>0.97740000000000005</v>
      </c>
      <c r="R6">
        <v>0.98750000000000004</v>
      </c>
      <c r="S6">
        <v>0.99339999999999995</v>
      </c>
      <c r="T6">
        <v>0.99780000000000002</v>
      </c>
      <c r="U6">
        <v>1</v>
      </c>
      <c r="V6">
        <v>1</v>
      </c>
      <c r="W6">
        <v>1</v>
      </c>
      <c r="X6">
        <v>1</v>
      </c>
      <c r="Y6">
        <v>1</v>
      </c>
      <c r="Z6">
        <v>1</v>
      </c>
      <c r="AA6">
        <v>1</v>
      </c>
      <c r="AB6">
        <v>1</v>
      </c>
      <c r="AC6">
        <v>1</v>
      </c>
      <c r="AD6">
        <v>1</v>
      </c>
      <c r="AE6">
        <v>0.99929999999999997</v>
      </c>
      <c r="AF6">
        <v>0.99790000000000001</v>
      </c>
      <c r="AG6">
        <v>0.99550000000000005</v>
      </c>
      <c r="AH6">
        <v>0.99229999999999996</v>
      </c>
      <c r="AI6">
        <v>0.98819999999999997</v>
      </c>
      <c r="AJ6">
        <v>0.98319999999999996</v>
      </c>
      <c r="AK6">
        <v>0.9778</v>
      </c>
      <c r="AL6">
        <v>0.9718</v>
      </c>
      <c r="AM6">
        <v>0.96530000000000005</v>
      </c>
      <c r="AN6">
        <v>0.95840000000000003</v>
      </c>
      <c r="AO6">
        <v>0.95109999999999995</v>
      </c>
      <c r="AP6">
        <v>0.94369999999999998</v>
      </c>
      <c r="AQ6">
        <v>0.93640000000000001</v>
      </c>
      <c r="AR6">
        <v>0.92910000000000004</v>
      </c>
      <c r="AS6">
        <v>0.92169999999999996</v>
      </c>
      <c r="AT6">
        <v>0.91439999999999999</v>
      </c>
      <c r="AU6">
        <v>0.90700000000000003</v>
      </c>
      <c r="AV6">
        <v>0.89970000000000006</v>
      </c>
      <c r="AW6">
        <v>0.89239999999999997</v>
      </c>
      <c r="AX6">
        <v>0.88500000000000001</v>
      </c>
      <c r="AY6">
        <v>0.87770000000000004</v>
      </c>
      <c r="AZ6">
        <v>0.87029999999999996</v>
      </c>
      <c r="BA6">
        <v>0.86299999999999999</v>
      </c>
      <c r="BB6">
        <v>0.85570000000000002</v>
      </c>
      <c r="BC6">
        <v>0.84830000000000005</v>
      </c>
      <c r="BD6">
        <v>0.84099999999999997</v>
      </c>
      <c r="BE6">
        <v>0.8337</v>
      </c>
      <c r="BF6">
        <v>0.82630000000000003</v>
      </c>
      <c r="BG6">
        <v>0.81899999999999995</v>
      </c>
      <c r="BH6">
        <v>0.81159999999999999</v>
      </c>
      <c r="BI6">
        <v>0.80430000000000001</v>
      </c>
      <c r="BJ6">
        <v>0.79700000000000004</v>
      </c>
      <c r="BK6">
        <v>0.78959999999999997</v>
      </c>
      <c r="BL6">
        <v>0.7823</v>
      </c>
      <c r="BM6">
        <v>0.77490000000000003</v>
      </c>
      <c r="BN6">
        <v>0.76759999999999995</v>
      </c>
      <c r="BO6">
        <v>0.76029999999999998</v>
      </c>
      <c r="BP6">
        <v>0.75290000000000001</v>
      </c>
      <c r="BQ6">
        <v>0.74529999999999996</v>
      </c>
      <c r="BR6">
        <v>0.73750000000000004</v>
      </c>
      <c r="BS6">
        <v>0.72940000000000005</v>
      </c>
      <c r="BT6">
        <v>0.72060000000000002</v>
      </c>
      <c r="BU6">
        <v>0.71109999999999995</v>
      </c>
      <c r="BV6">
        <v>0.70089999999999997</v>
      </c>
      <c r="BW6">
        <v>0.69020000000000004</v>
      </c>
      <c r="BX6">
        <v>0.67879999999999996</v>
      </c>
      <c r="BY6">
        <v>0.66669999999999996</v>
      </c>
      <c r="BZ6">
        <v>0.65400000000000003</v>
      </c>
      <c r="CA6">
        <v>0.64059999999999995</v>
      </c>
      <c r="CB6">
        <v>0.62660000000000005</v>
      </c>
      <c r="CC6">
        <v>0.6119</v>
      </c>
      <c r="CD6">
        <v>0.59660000000000002</v>
      </c>
      <c r="CE6">
        <v>0.58069999999999999</v>
      </c>
      <c r="CF6">
        <v>0.56410000000000005</v>
      </c>
      <c r="CG6">
        <v>0.54679999999999995</v>
      </c>
      <c r="CH6">
        <v>0.52890000000000004</v>
      </c>
      <c r="CI6">
        <v>0.51039999999999996</v>
      </c>
      <c r="CJ6">
        <v>0.49120000000000003</v>
      </c>
      <c r="CK6">
        <v>0.4713</v>
      </c>
      <c r="CL6">
        <v>0.45079999999999998</v>
      </c>
      <c r="CM6">
        <v>0.42970000000000003</v>
      </c>
      <c r="CN6">
        <v>0.40799999999999997</v>
      </c>
      <c r="CO6">
        <v>0.38550000000000001</v>
      </c>
      <c r="CP6">
        <v>0.3624</v>
      </c>
      <c r="CQ6">
        <v>0.3387</v>
      </c>
      <c r="CR6">
        <v>0.31440000000000001</v>
      </c>
      <c r="CS6">
        <v>0.2893</v>
      </c>
      <c r="CT6">
        <v>0.26369999999999999</v>
      </c>
      <c r="CU6">
        <v>0.23730000000000001</v>
      </c>
      <c r="CV6">
        <v>0.2104</v>
      </c>
    </row>
    <row r="7" spans="1:100">
      <c r="A7" t="s">
        <v>13</v>
      </c>
      <c r="B7" t="s">
        <v>14</v>
      </c>
      <c r="C7">
        <v>8.0467200000000005</v>
      </c>
      <c r="D7">
        <v>1264</v>
      </c>
      <c r="E7">
        <v>0.53890000000000005</v>
      </c>
      <c r="F7">
        <v>0.59870000000000001</v>
      </c>
      <c r="G7">
        <v>0.65429999999999999</v>
      </c>
      <c r="H7">
        <v>0.7056</v>
      </c>
      <c r="I7">
        <v>0.75270000000000004</v>
      </c>
      <c r="J7">
        <v>0.79559999999999997</v>
      </c>
      <c r="K7">
        <v>0.83420000000000005</v>
      </c>
      <c r="L7">
        <v>0.86850000000000005</v>
      </c>
      <c r="M7">
        <v>0.89859999999999995</v>
      </c>
      <c r="N7">
        <v>0.9244</v>
      </c>
      <c r="O7">
        <v>0.94599999999999995</v>
      </c>
      <c r="P7">
        <v>0.96330000000000005</v>
      </c>
      <c r="Q7">
        <v>0.97719999999999996</v>
      </c>
      <c r="R7">
        <v>0.98729999999999996</v>
      </c>
      <c r="S7">
        <v>0.99329999999999996</v>
      </c>
      <c r="T7">
        <v>0.99780000000000002</v>
      </c>
      <c r="U7">
        <v>1</v>
      </c>
      <c r="V7">
        <v>1</v>
      </c>
      <c r="W7">
        <v>1</v>
      </c>
      <c r="X7">
        <v>1</v>
      </c>
      <c r="Y7">
        <v>1</v>
      </c>
      <c r="Z7">
        <v>1</v>
      </c>
      <c r="AA7">
        <v>1</v>
      </c>
      <c r="AB7">
        <v>1</v>
      </c>
      <c r="AC7">
        <v>1</v>
      </c>
      <c r="AD7">
        <v>1</v>
      </c>
      <c r="AE7">
        <v>0.99929999999999997</v>
      </c>
      <c r="AF7">
        <v>0.99790000000000001</v>
      </c>
      <c r="AG7">
        <v>0.99550000000000005</v>
      </c>
      <c r="AH7">
        <v>0.99239999999999995</v>
      </c>
      <c r="AI7">
        <v>0.98819999999999997</v>
      </c>
      <c r="AJ7">
        <v>0.98329999999999995</v>
      </c>
      <c r="AK7">
        <v>0.97789999999999999</v>
      </c>
      <c r="AL7">
        <v>0.97189999999999999</v>
      </c>
      <c r="AM7">
        <v>0.96550000000000002</v>
      </c>
      <c r="AN7">
        <v>0.95860000000000001</v>
      </c>
      <c r="AO7">
        <v>0.95120000000000005</v>
      </c>
      <c r="AP7">
        <v>0.94389999999999996</v>
      </c>
      <c r="AQ7">
        <v>0.9365</v>
      </c>
      <c r="AR7">
        <v>0.92920000000000003</v>
      </c>
      <c r="AS7">
        <v>0.92179999999999995</v>
      </c>
      <c r="AT7">
        <v>0.91449999999999998</v>
      </c>
      <c r="AU7">
        <v>0.90710000000000002</v>
      </c>
      <c r="AV7">
        <v>0.89980000000000004</v>
      </c>
      <c r="AW7">
        <v>0.89249999999999996</v>
      </c>
      <c r="AX7">
        <v>0.8851</v>
      </c>
      <c r="AY7">
        <v>0.87780000000000002</v>
      </c>
      <c r="AZ7">
        <v>0.87039999999999995</v>
      </c>
      <c r="BA7">
        <v>0.86309999999999998</v>
      </c>
      <c r="BB7">
        <v>0.85570000000000002</v>
      </c>
      <c r="BC7">
        <v>0.84840000000000004</v>
      </c>
      <c r="BD7">
        <v>0.84109999999999996</v>
      </c>
      <c r="BE7">
        <v>0.8337</v>
      </c>
      <c r="BF7">
        <v>0.82640000000000002</v>
      </c>
      <c r="BG7">
        <v>0.81899999999999995</v>
      </c>
      <c r="BH7">
        <v>0.81169999999999998</v>
      </c>
      <c r="BI7">
        <v>0.80430000000000001</v>
      </c>
      <c r="BJ7">
        <v>0.79700000000000004</v>
      </c>
      <c r="BK7">
        <v>0.78969999999999996</v>
      </c>
      <c r="BL7">
        <v>0.7823</v>
      </c>
      <c r="BM7">
        <v>0.77500000000000002</v>
      </c>
      <c r="BN7">
        <v>0.76759999999999995</v>
      </c>
      <c r="BO7">
        <v>0.76029999999999998</v>
      </c>
      <c r="BP7">
        <v>0.75290000000000001</v>
      </c>
      <c r="BQ7">
        <v>0.74529999999999996</v>
      </c>
      <c r="BR7">
        <v>0.73760000000000003</v>
      </c>
      <c r="BS7">
        <v>0.72940000000000005</v>
      </c>
      <c r="BT7">
        <v>0.72060000000000002</v>
      </c>
      <c r="BU7">
        <v>0.71109999999999995</v>
      </c>
      <c r="BV7">
        <v>0.70099999999999996</v>
      </c>
      <c r="BW7">
        <v>0.69030000000000002</v>
      </c>
      <c r="BX7">
        <v>0.67879999999999996</v>
      </c>
      <c r="BY7">
        <v>0.66679999999999995</v>
      </c>
      <c r="BZ7">
        <v>0.65410000000000001</v>
      </c>
      <c r="CA7">
        <v>0.64070000000000005</v>
      </c>
      <c r="CB7">
        <v>0.62670000000000003</v>
      </c>
      <c r="CC7">
        <v>0.61199999999999999</v>
      </c>
      <c r="CD7">
        <v>0.59670000000000001</v>
      </c>
      <c r="CE7">
        <v>0.58079999999999998</v>
      </c>
      <c r="CF7">
        <v>0.56420000000000003</v>
      </c>
      <c r="CG7">
        <v>0.54690000000000005</v>
      </c>
      <c r="CH7">
        <v>0.52900000000000003</v>
      </c>
      <c r="CI7">
        <v>0.51049999999999995</v>
      </c>
      <c r="CJ7">
        <v>0.49130000000000001</v>
      </c>
      <c r="CK7">
        <v>0.47139999999999999</v>
      </c>
      <c r="CL7">
        <v>0.45090000000000002</v>
      </c>
      <c r="CM7">
        <v>0.42980000000000002</v>
      </c>
      <c r="CN7">
        <v>0.40810000000000002</v>
      </c>
      <c r="CO7">
        <v>0.3856</v>
      </c>
      <c r="CP7">
        <v>0.36249999999999999</v>
      </c>
      <c r="CQ7">
        <v>0.33879999999999999</v>
      </c>
      <c r="CR7">
        <v>0.31440000000000001</v>
      </c>
      <c r="CS7">
        <v>0.28939999999999999</v>
      </c>
      <c r="CT7">
        <v>0.26369999999999999</v>
      </c>
      <c r="CU7">
        <v>0.2374</v>
      </c>
      <c r="CV7">
        <v>0.2104</v>
      </c>
    </row>
    <row r="8" spans="1:100">
      <c r="A8" t="s">
        <v>15</v>
      </c>
      <c r="B8" t="s">
        <v>16</v>
      </c>
      <c r="C8">
        <v>10</v>
      </c>
      <c r="D8">
        <v>1584</v>
      </c>
      <c r="E8">
        <v>0.50729999999999997</v>
      </c>
      <c r="F8">
        <v>0.56779999999999997</v>
      </c>
      <c r="G8">
        <v>0.62429999999999997</v>
      </c>
      <c r="H8">
        <v>0.67679999999999996</v>
      </c>
      <c r="I8">
        <v>0.72529999999999994</v>
      </c>
      <c r="J8">
        <v>0.76980000000000004</v>
      </c>
      <c r="K8">
        <v>0.81030000000000002</v>
      </c>
      <c r="L8">
        <v>0.8468</v>
      </c>
      <c r="M8">
        <v>0.87929999999999997</v>
      </c>
      <c r="N8">
        <v>0.90780000000000005</v>
      </c>
      <c r="O8">
        <v>0.93230000000000002</v>
      </c>
      <c r="P8">
        <v>0.95279999999999998</v>
      </c>
      <c r="Q8">
        <v>0.96930000000000005</v>
      </c>
      <c r="R8">
        <v>0.98180000000000001</v>
      </c>
      <c r="S8">
        <v>0.99029999999999996</v>
      </c>
      <c r="T8">
        <v>0.99680000000000002</v>
      </c>
      <c r="U8">
        <v>1</v>
      </c>
      <c r="V8">
        <v>1</v>
      </c>
      <c r="W8">
        <v>1</v>
      </c>
      <c r="X8">
        <v>1</v>
      </c>
      <c r="Y8">
        <v>1</v>
      </c>
      <c r="Z8">
        <v>1</v>
      </c>
      <c r="AA8">
        <v>1</v>
      </c>
      <c r="AB8">
        <v>1</v>
      </c>
      <c r="AC8">
        <v>1</v>
      </c>
      <c r="AD8">
        <v>1</v>
      </c>
      <c r="AE8">
        <v>0.99960000000000004</v>
      </c>
      <c r="AF8">
        <v>0.99850000000000005</v>
      </c>
      <c r="AG8">
        <v>0.99670000000000003</v>
      </c>
      <c r="AH8">
        <v>0.99419999999999997</v>
      </c>
      <c r="AI8">
        <v>0.9909</v>
      </c>
      <c r="AJ8">
        <v>0.9869</v>
      </c>
      <c r="AK8">
        <v>0.98219999999999996</v>
      </c>
      <c r="AL8">
        <v>0.97670000000000001</v>
      </c>
      <c r="AM8">
        <v>0.97050000000000003</v>
      </c>
      <c r="AN8">
        <v>0.96360000000000001</v>
      </c>
      <c r="AO8">
        <v>0.95609999999999995</v>
      </c>
      <c r="AP8">
        <v>0.9486</v>
      </c>
      <c r="AQ8">
        <v>0.94110000000000005</v>
      </c>
      <c r="AR8">
        <v>0.93359999999999999</v>
      </c>
      <c r="AS8">
        <v>0.92610000000000003</v>
      </c>
      <c r="AT8">
        <v>0.91859999999999997</v>
      </c>
      <c r="AU8">
        <v>0.91110000000000002</v>
      </c>
      <c r="AV8">
        <v>0.90359999999999996</v>
      </c>
      <c r="AW8">
        <v>0.89610000000000001</v>
      </c>
      <c r="AX8">
        <v>0.88859999999999995</v>
      </c>
      <c r="AY8">
        <v>0.88109999999999999</v>
      </c>
      <c r="AZ8">
        <v>0.87360000000000004</v>
      </c>
      <c r="BA8">
        <v>0.86609999999999998</v>
      </c>
      <c r="BB8">
        <v>0.85860000000000003</v>
      </c>
      <c r="BC8">
        <v>0.85109999999999997</v>
      </c>
      <c r="BD8">
        <v>0.84360000000000002</v>
      </c>
      <c r="BE8">
        <v>0.83609999999999995</v>
      </c>
      <c r="BF8">
        <v>0.8286</v>
      </c>
      <c r="BG8">
        <v>0.82110000000000005</v>
      </c>
      <c r="BH8">
        <v>0.81359999999999999</v>
      </c>
      <c r="BI8">
        <v>0.80610000000000004</v>
      </c>
      <c r="BJ8">
        <v>0.79859999999999998</v>
      </c>
      <c r="BK8">
        <v>0.79110000000000003</v>
      </c>
      <c r="BL8">
        <v>0.78359999999999996</v>
      </c>
      <c r="BM8">
        <v>0.77610000000000001</v>
      </c>
      <c r="BN8">
        <v>0.76859999999999995</v>
      </c>
      <c r="BO8">
        <v>0.7611</v>
      </c>
      <c r="BP8">
        <v>0.75360000000000005</v>
      </c>
      <c r="BQ8">
        <v>0.74609999999999999</v>
      </c>
      <c r="BR8">
        <v>0.73860000000000003</v>
      </c>
      <c r="BS8">
        <v>0.73080000000000001</v>
      </c>
      <c r="BT8">
        <v>0.72230000000000005</v>
      </c>
      <c r="BU8">
        <v>0.71309999999999996</v>
      </c>
      <c r="BV8">
        <v>0.70330000000000004</v>
      </c>
      <c r="BW8">
        <v>0.69279999999999997</v>
      </c>
      <c r="BX8">
        <v>0.68159999999999998</v>
      </c>
      <c r="BY8">
        <v>0.66969999999999996</v>
      </c>
      <c r="BZ8">
        <v>0.65720000000000001</v>
      </c>
      <c r="CA8">
        <v>0.64400000000000002</v>
      </c>
      <c r="CB8">
        <v>0.63009999999999999</v>
      </c>
      <c r="CC8">
        <v>0.61560000000000004</v>
      </c>
      <c r="CD8">
        <v>0.60040000000000004</v>
      </c>
      <c r="CE8">
        <v>0.58450000000000002</v>
      </c>
      <c r="CF8">
        <v>0.56799999999999995</v>
      </c>
      <c r="CG8">
        <v>0.55079999999999996</v>
      </c>
      <c r="CH8">
        <v>0.53290000000000004</v>
      </c>
      <c r="CI8">
        <v>0.51429999999999998</v>
      </c>
      <c r="CJ8">
        <v>0.49509999999999998</v>
      </c>
      <c r="CK8">
        <v>0.47520000000000001</v>
      </c>
      <c r="CL8">
        <v>0.4546</v>
      </c>
      <c r="CM8">
        <v>0.43340000000000001</v>
      </c>
      <c r="CN8">
        <v>0.41149999999999998</v>
      </c>
      <c r="CO8">
        <v>0.38890000000000002</v>
      </c>
      <c r="CP8">
        <v>0.36570000000000003</v>
      </c>
      <c r="CQ8">
        <v>0.34179999999999999</v>
      </c>
      <c r="CR8">
        <v>0.31719999999999998</v>
      </c>
      <c r="CS8">
        <v>0.29189999999999999</v>
      </c>
      <c r="CT8">
        <v>0.26600000000000001</v>
      </c>
      <c r="CU8">
        <v>0.2394</v>
      </c>
      <c r="CV8">
        <v>0.21210000000000001</v>
      </c>
    </row>
    <row r="9" spans="1:100">
      <c r="A9" t="s">
        <v>17</v>
      </c>
      <c r="B9" t="s">
        <v>18</v>
      </c>
      <c r="C9">
        <v>11.265408000000001</v>
      </c>
      <c r="D9">
        <v>1790</v>
      </c>
      <c r="E9">
        <v>0.50009999999999999</v>
      </c>
      <c r="F9">
        <v>0.56279999999999997</v>
      </c>
      <c r="G9">
        <v>0.62119999999999997</v>
      </c>
      <c r="H9">
        <v>0.6754</v>
      </c>
      <c r="I9">
        <v>0.72519999999999996</v>
      </c>
      <c r="J9">
        <v>0.77080000000000004</v>
      </c>
      <c r="K9">
        <v>0.81210000000000004</v>
      </c>
      <c r="L9">
        <v>0.84919999999999995</v>
      </c>
      <c r="M9">
        <v>0.88190000000000002</v>
      </c>
      <c r="N9">
        <v>0.91039999999999999</v>
      </c>
      <c r="O9">
        <v>0.93459999999999999</v>
      </c>
      <c r="P9">
        <v>0.95450000000000002</v>
      </c>
      <c r="Q9">
        <v>0.97019999999999995</v>
      </c>
      <c r="R9">
        <v>0.98229999999999995</v>
      </c>
      <c r="S9">
        <v>0.99109999999999998</v>
      </c>
      <c r="T9">
        <v>0.99729999999999996</v>
      </c>
      <c r="U9">
        <v>1</v>
      </c>
      <c r="V9">
        <v>1</v>
      </c>
      <c r="W9">
        <v>1</v>
      </c>
      <c r="X9">
        <v>1</v>
      </c>
      <c r="Y9">
        <v>1</v>
      </c>
      <c r="Z9">
        <v>1</v>
      </c>
      <c r="AA9">
        <v>1</v>
      </c>
      <c r="AB9">
        <v>1</v>
      </c>
      <c r="AC9">
        <v>1</v>
      </c>
      <c r="AD9">
        <v>1</v>
      </c>
      <c r="AE9">
        <v>0.99970000000000003</v>
      </c>
      <c r="AF9">
        <v>0.99870000000000003</v>
      </c>
      <c r="AG9">
        <v>0.99690000000000001</v>
      </c>
      <c r="AH9">
        <v>0.99450000000000005</v>
      </c>
      <c r="AI9">
        <v>0.99119999999999997</v>
      </c>
      <c r="AJ9">
        <v>0.98719999999999997</v>
      </c>
      <c r="AK9">
        <v>0.98250000000000004</v>
      </c>
      <c r="AL9">
        <v>0.97689999999999999</v>
      </c>
      <c r="AM9">
        <v>0.97060000000000002</v>
      </c>
      <c r="AN9">
        <v>0.96360000000000001</v>
      </c>
      <c r="AO9">
        <v>0.95609999999999995</v>
      </c>
      <c r="AP9">
        <v>0.9486</v>
      </c>
      <c r="AQ9">
        <v>0.94099999999999995</v>
      </c>
      <c r="AR9">
        <v>0.9335</v>
      </c>
      <c r="AS9">
        <v>0.92589999999999995</v>
      </c>
      <c r="AT9">
        <v>0.91839999999999999</v>
      </c>
      <c r="AU9">
        <v>0.91080000000000005</v>
      </c>
      <c r="AV9">
        <v>0.90329999999999999</v>
      </c>
      <c r="AW9">
        <v>0.89570000000000005</v>
      </c>
      <c r="AX9">
        <v>0.88819999999999999</v>
      </c>
      <c r="AY9">
        <v>0.88060000000000005</v>
      </c>
      <c r="AZ9">
        <v>0.87309999999999999</v>
      </c>
      <c r="BA9">
        <v>0.86560000000000004</v>
      </c>
      <c r="BB9">
        <v>0.85799999999999998</v>
      </c>
      <c r="BC9">
        <v>0.85050000000000003</v>
      </c>
      <c r="BD9">
        <v>0.84289999999999998</v>
      </c>
      <c r="BE9">
        <v>0.83540000000000003</v>
      </c>
      <c r="BF9">
        <v>0.82779999999999998</v>
      </c>
      <c r="BG9">
        <v>0.82030000000000003</v>
      </c>
      <c r="BH9">
        <v>0.81269999999999998</v>
      </c>
      <c r="BI9">
        <v>0.80520000000000003</v>
      </c>
      <c r="BJ9">
        <v>0.79769999999999996</v>
      </c>
      <c r="BK9">
        <v>0.79010000000000002</v>
      </c>
      <c r="BL9">
        <v>0.78259999999999996</v>
      </c>
      <c r="BM9">
        <v>0.77500000000000002</v>
      </c>
      <c r="BN9">
        <v>0.76749999999999996</v>
      </c>
      <c r="BO9">
        <v>0.75990000000000002</v>
      </c>
      <c r="BP9">
        <v>0.75239999999999996</v>
      </c>
      <c r="BQ9">
        <v>0.74480000000000002</v>
      </c>
      <c r="BR9">
        <v>0.73729999999999996</v>
      </c>
      <c r="BS9">
        <v>0.72940000000000005</v>
      </c>
      <c r="BT9">
        <v>0.72089999999999999</v>
      </c>
      <c r="BU9">
        <v>0.71160000000000001</v>
      </c>
      <c r="BV9">
        <v>0.70179999999999998</v>
      </c>
      <c r="BW9">
        <v>0.69120000000000004</v>
      </c>
      <c r="BX9">
        <v>0.68</v>
      </c>
      <c r="BY9">
        <v>0.66800000000000004</v>
      </c>
      <c r="BZ9">
        <v>0.65549999999999997</v>
      </c>
      <c r="CA9">
        <v>0.64219999999999999</v>
      </c>
      <c r="CB9">
        <v>0.62819999999999998</v>
      </c>
      <c r="CC9">
        <v>0.61370000000000002</v>
      </c>
      <c r="CD9">
        <v>0.59840000000000004</v>
      </c>
      <c r="CE9">
        <v>0.58250000000000002</v>
      </c>
      <c r="CF9">
        <v>0.56589999999999996</v>
      </c>
      <c r="CG9">
        <v>0.54859999999999998</v>
      </c>
      <c r="CH9">
        <v>0.53059999999999996</v>
      </c>
      <c r="CI9">
        <v>0.51200000000000001</v>
      </c>
      <c r="CJ9">
        <v>0.49270000000000003</v>
      </c>
      <c r="CK9">
        <v>0.47270000000000001</v>
      </c>
      <c r="CL9">
        <v>0.45200000000000001</v>
      </c>
      <c r="CM9">
        <v>0.43070000000000003</v>
      </c>
      <c r="CN9">
        <v>0.40870000000000001</v>
      </c>
      <c r="CO9">
        <v>0.3861</v>
      </c>
      <c r="CP9">
        <v>0.36280000000000001</v>
      </c>
      <c r="CQ9">
        <v>0.33879999999999999</v>
      </c>
      <c r="CR9">
        <v>0.31409999999999999</v>
      </c>
      <c r="CS9">
        <v>0.28870000000000001</v>
      </c>
      <c r="CT9">
        <v>0.26269999999999999</v>
      </c>
      <c r="CU9">
        <v>0.23599999999999999</v>
      </c>
      <c r="CV9">
        <v>0.20860000000000001</v>
      </c>
    </row>
    <row r="10" spans="1:100">
      <c r="A10" t="s">
        <v>19</v>
      </c>
      <c r="B10" t="s">
        <v>20</v>
      </c>
      <c r="C10">
        <v>12</v>
      </c>
      <c r="D10">
        <v>1915</v>
      </c>
      <c r="E10">
        <v>0.49630000000000002</v>
      </c>
      <c r="F10">
        <v>0.56010000000000004</v>
      </c>
      <c r="G10">
        <v>0.61960000000000004</v>
      </c>
      <c r="H10">
        <v>0.67459999999999998</v>
      </c>
      <c r="I10">
        <v>0.72519999999999996</v>
      </c>
      <c r="J10">
        <v>0.77139999999999997</v>
      </c>
      <c r="K10">
        <v>0.81310000000000004</v>
      </c>
      <c r="L10">
        <v>0.85040000000000004</v>
      </c>
      <c r="M10">
        <v>0.88329999999999997</v>
      </c>
      <c r="N10">
        <v>0.91180000000000005</v>
      </c>
      <c r="O10">
        <v>0.93579999999999997</v>
      </c>
      <c r="P10">
        <v>0.95540000000000003</v>
      </c>
      <c r="Q10">
        <v>0.97070000000000001</v>
      </c>
      <c r="R10">
        <v>0.98260000000000003</v>
      </c>
      <c r="S10">
        <v>0.99139999999999995</v>
      </c>
      <c r="T10">
        <v>0.99760000000000004</v>
      </c>
      <c r="U10">
        <v>1</v>
      </c>
      <c r="V10">
        <v>1</v>
      </c>
      <c r="W10">
        <v>1</v>
      </c>
      <c r="X10">
        <v>1</v>
      </c>
      <c r="Y10">
        <v>1</v>
      </c>
      <c r="Z10">
        <v>1</v>
      </c>
      <c r="AA10">
        <v>1</v>
      </c>
      <c r="AB10">
        <v>1</v>
      </c>
      <c r="AC10">
        <v>1</v>
      </c>
      <c r="AD10">
        <v>1</v>
      </c>
      <c r="AE10">
        <v>0.99970000000000003</v>
      </c>
      <c r="AF10">
        <v>0.99880000000000002</v>
      </c>
      <c r="AG10">
        <v>0.99709999999999999</v>
      </c>
      <c r="AH10">
        <v>0.99460000000000004</v>
      </c>
      <c r="AI10">
        <v>0.99139999999999995</v>
      </c>
      <c r="AJ10">
        <v>0.98740000000000006</v>
      </c>
      <c r="AK10">
        <v>0.98260000000000003</v>
      </c>
      <c r="AL10">
        <v>0.97699999999999998</v>
      </c>
      <c r="AM10">
        <v>0.97070000000000001</v>
      </c>
      <c r="AN10">
        <v>0.96360000000000001</v>
      </c>
      <c r="AO10">
        <v>0.95609999999999995</v>
      </c>
      <c r="AP10">
        <v>0.94850000000000001</v>
      </c>
      <c r="AQ10">
        <v>0.94099999999999995</v>
      </c>
      <c r="AR10">
        <v>0.93340000000000001</v>
      </c>
      <c r="AS10">
        <v>0.92579999999999996</v>
      </c>
      <c r="AT10">
        <v>0.91820000000000002</v>
      </c>
      <c r="AU10">
        <v>0.91069999999999995</v>
      </c>
      <c r="AV10">
        <v>0.90310000000000001</v>
      </c>
      <c r="AW10">
        <v>0.89549999999999996</v>
      </c>
      <c r="AX10">
        <v>0.88800000000000001</v>
      </c>
      <c r="AY10">
        <v>0.88039999999999996</v>
      </c>
      <c r="AZ10">
        <v>0.87280000000000002</v>
      </c>
      <c r="BA10">
        <v>0.86529999999999996</v>
      </c>
      <c r="BB10">
        <v>0.85770000000000002</v>
      </c>
      <c r="BC10">
        <v>0.85009999999999997</v>
      </c>
      <c r="BD10">
        <v>0.84250000000000003</v>
      </c>
      <c r="BE10">
        <v>0.83499999999999996</v>
      </c>
      <c r="BF10">
        <v>0.82740000000000002</v>
      </c>
      <c r="BG10">
        <v>0.81989999999999996</v>
      </c>
      <c r="BH10">
        <v>0.81230000000000002</v>
      </c>
      <c r="BI10">
        <v>0.80469999999999997</v>
      </c>
      <c r="BJ10">
        <v>0.79720000000000002</v>
      </c>
      <c r="BK10">
        <v>0.78959999999999997</v>
      </c>
      <c r="BL10">
        <v>0.78200000000000003</v>
      </c>
      <c r="BM10">
        <v>0.77439999999999998</v>
      </c>
      <c r="BN10">
        <v>0.76690000000000003</v>
      </c>
      <c r="BO10">
        <v>0.75929999999999997</v>
      </c>
      <c r="BP10">
        <v>0.75170000000000003</v>
      </c>
      <c r="BQ10">
        <v>0.74419999999999997</v>
      </c>
      <c r="BR10">
        <v>0.73660000000000003</v>
      </c>
      <c r="BS10">
        <v>0.72870000000000001</v>
      </c>
      <c r="BT10">
        <v>0.72019999999999995</v>
      </c>
      <c r="BU10">
        <v>0.71089999999999998</v>
      </c>
      <c r="BV10">
        <v>0.70099999999999996</v>
      </c>
      <c r="BW10">
        <v>0.69040000000000001</v>
      </c>
      <c r="BX10">
        <v>0.67910000000000004</v>
      </c>
      <c r="BY10">
        <v>0.66720000000000002</v>
      </c>
      <c r="BZ10">
        <v>0.65459999999999996</v>
      </c>
      <c r="CA10">
        <v>0.64129999999999998</v>
      </c>
      <c r="CB10">
        <v>0.62180000000000002</v>
      </c>
      <c r="CC10">
        <v>0.61270000000000002</v>
      </c>
      <c r="CD10">
        <v>0.59740000000000004</v>
      </c>
      <c r="CE10">
        <v>0.58140000000000003</v>
      </c>
      <c r="CF10">
        <v>0.56479999999999997</v>
      </c>
      <c r="CG10">
        <v>0.5474</v>
      </c>
      <c r="CH10">
        <v>0.52939999999999998</v>
      </c>
      <c r="CI10">
        <v>0.51070000000000004</v>
      </c>
      <c r="CJ10">
        <v>0.4914</v>
      </c>
      <c r="CK10">
        <v>0.47139999999999999</v>
      </c>
      <c r="CL10">
        <v>0.4506</v>
      </c>
      <c r="CM10">
        <v>0.42930000000000001</v>
      </c>
      <c r="CN10">
        <v>0.4073</v>
      </c>
      <c r="CO10">
        <v>0.3846</v>
      </c>
      <c r="CP10">
        <v>0.36120000000000002</v>
      </c>
      <c r="CQ10">
        <v>0.3372</v>
      </c>
      <c r="CR10">
        <v>0.31240000000000001</v>
      </c>
      <c r="CS10">
        <v>0.28699999999999998</v>
      </c>
      <c r="CT10">
        <v>0.26090000000000002</v>
      </c>
      <c r="CU10">
        <v>0.23419999999999999</v>
      </c>
      <c r="CV10">
        <v>0.20669999999999999</v>
      </c>
    </row>
    <row r="11" spans="1:100">
      <c r="A11" t="s">
        <v>21</v>
      </c>
      <c r="B11" t="s">
        <v>22</v>
      </c>
      <c r="C11">
        <v>15</v>
      </c>
      <c r="D11">
        <v>2415</v>
      </c>
      <c r="E11">
        <v>0.48280000000000001</v>
      </c>
      <c r="F11">
        <v>0.55069999999999997</v>
      </c>
      <c r="G11">
        <v>0.61380000000000001</v>
      </c>
      <c r="H11">
        <v>0.67190000000000005</v>
      </c>
      <c r="I11">
        <v>0.72499999999999998</v>
      </c>
      <c r="J11">
        <v>0.77329999999999999</v>
      </c>
      <c r="K11">
        <v>0.8165</v>
      </c>
      <c r="L11">
        <v>0.8548</v>
      </c>
      <c r="M11">
        <v>0.88819999999999999</v>
      </c>
      <c r="N11">
        <v>0.91669999999999996</v>
      </c>
      <c r="O11">
        <v>0.94010000000000005</v>
      </c>
      <c r="P11">
        <v>0.9587</v>
      </c>
      <c r="Q11">
        <v>0.97240000000000004</v>
      </c>
      <c r="R11">
        <v>0.98350000000000004</v>
      </c>
      <c r="S11">
        <v>0.9929</v>
      </c>
      <c r="T11">
        <v>0.99850000000000005</v>
      </c>
      <c r="U11">
        <v>1</v>
      </c>
      <c r="V11">
        <v>1</v>
      </c>
      <c r="W11">
        <v>1</v>
      </c>
      <c r="X11">
        <v>1</v>
      </c>
      <c r="Y11">
        <v>1</v>
      </c>
      <c r="Z11">
        <v>1</v>
      </c>
      <c r="AA11">
        <v>1</v>
      </c>
      <c r="AB11">
        <v>1</v>
      </c>
      <c r="AC11">
        <v>1</v>
      </c>
      <c r="AD11">
        <v>1</v>
      </c>
      <c r="AE11">
        <v>0.99980000000000002</v>
      </c>
      <c r="AF11">
        <v>0.99909999999999999</v>
      </c>
      <c r="AG11">
        <v>0.99750000000000005</v>
      </c>
      <c r="AH11">
        <v>0.99519999999999997</v>
      </c>
      <c r="AI11">
        <v>0.9919</v>
      </c>
      <c r="AJ11">
        <v>0.9879</v>
      </c>
      <c r="AK11">
        <v>0.98309999999999997</v>
      </c>
      <c r="AL11">
        <v>0.97750000000000004</v>
      </c>
      <c r="AM11">
        <v>0.97099999999999997</v>
      </c>
      <c r="AN11">
        <v>0.9637</v>
      </c>
      <c r="AO11">
        <v>0.95599999999999996</v>
      </c>
      <c r="AP11">
        <v>0.94840000000000002</v>
      </c>
      <c r="AQ11">
        <v>0.94079999999999997</v>
      </c>
      <c r="AR11">
        <v>0.93310000000000004</v>
      </c>
      <c r="AS11">
        <v>0.9254</v>
      </c>
      <c r="AT11">
        <v>0.91779999999999995</v>
      </c>
      <c r="AU11">
        <v>0.91020000000000001</v>
      </c>
      <c r="AV11">
        <v>0.90249999999999997</v>
      </c>
      <c r="AW11">
        <v>0.89490000000000003</v>
      </c>
      <c r="AX11">
        <v>0.88719999999999999</v>
      </c>
      <c r="AY11">
        <v>0.87949999999999995</v>
      </c>
      <c r="AZ11">
        <v>0.87190000000000001</v>
      </c>
      <c r="BA11">
        <v>0.86429999999999996</v>
      </c>
      <c r="BB11">
        <v>0.85660000000000003</v>
      </c>
      <c r="BC11">
        <v>0.84889999999999999</v>
      </c>
      <c r="BD11">
        <v>0.84130000000000005</v>
      </c>
      <c r="BE11">
        <v>0.8337</v>
      </c>
      <c r="BF11">
        <v>0.82599999999999996</v>
      </c>
      <c r="BG11">
        <v>0.81830000000000003</v>
      </c>
      <c r="BH11">
        <v>0.81069999999999998</v>
      </c>
      <c r="BI11">
        <v>0.80300000000000005</v>
      </c>
      <c r="BJ11">
        <v>0.7954</v>
      </c>
      <c r="BK11">
        <v>0.78769999999999996</v>
      </c>
      <c r="BL11">
        <v>0.78010000000000002</v>
      </c>
      <c r="BM11">
        <v>0.77239999999999998</v>
      </c>
      <c r="BN11">
        <v>0.76470000000000005</v>
      </c>
      <c r="BO11">
        <v>0.7571</v>
      </c>
      <c r="BP11">
        <v>0.74950000000000006</v>
      </c>
      <c r="BQ11">
        <v>0.74180000000000001</v>
      </c>
      <c r="BR11">
        <v>0.73409999999999997</v>
      </c>
      <c r="BS11">
        <v>0.72619999999999996</v>
      </c>
      <c r="BT11">
        <v>0.71750000000000003</v>
      </c>
      <c r="BU11">
        <v>0.70820000000000005</v>
      </c>
      <c r="BV11">
        <v>0.69810000000000005</v>
      </c>
      <c r="BW11">
        <v>0.6875</v>
      </c>
      <c r="BX11">
        <v>0.67610000000000003</v>
      </c>
      <c r="BY11">
        <v>0.66410000000000002</v>
      </c>
      <c r="BZ11">
        <v>0.65129999999999999</v>
      </c>
      <c r="CA11">
        <v>0.63790000000000002</v>
      </c>
      <c r="CB11">
        <v>0.62380000000000002</v>
      </c>
      <c r="CC11">
        <v>0.60909999999999997</v>
      </c>
      <c r="CD11">
        <v>0.59370000000000001</v>
      </c>
      <c r="CE11">
        <v>0.57750000000000001</v>
      </c>
      <c r="CF11">
        <v>0.56079999999999997</v>
      </c>
      <c r="CG11">
        <v>0.54330000000000001</v>
      </c>
      <c r="CH11">
        <v>0.52510000000000001</v>
      </c>
      <c r="CI11">
        <v>0.50629999999999997</v>
      </c>
      <c r="CJ11">
        <v>0.48680000000000001</v>
      </c>
      <c r="CK11">
        <v>0.4667</v>
      </c>
      <c r="CL11">
        <v>0.44579999999999997</v>
      </c>
      <c r="CM11">
        <v>0.42430000000000001</v>
      </c>
      <c r="CN11">
        <v>0.40210000000000001</v>
      </c>
      <c r="CO11">
        <v>0.37919999999999998</v>
      </c>
      <c r="CP11">
        <v>0.35570000000000002</v>
      </c>
      <c r="CQ11">
        <v>0.33150000000000002</v>
      </c>
      <c r="CR11">
        <v>0.30659999999999998</v>
      </c>
      <c r="CS11">
        <v>0.28100000000000003</v>
      </c>
      <c r="CT11">
        <v>0.25469999999999998</v>
      </c>
      <c r="CU11">
        <v>0.2278</v>
      </c>
      <c r="CV11">
        <v>0.20019999999999999</v>
      </c>
    </row>
    <row r="12" spans="1:100">
      <c r="A12" t="s">
        <v>23</v>
      </c>
      <c r="B12" t="s">
        <v>24</v>
      </c>
      <c r="C12">
        <v>16.093440000000001</v>
      </c>
      <c r="D12">
        <v>2595</v>
      </c>
      <c r="E12">
        <v>0.47849999999999998</v>
      </c>
      <c r="F12">
        <v>0.54779999999999995</v>
      </c>
      <c r="G12">
        <v>0.61199999999999999</v>
      </c>
      <c r="H12">
        <v>0.67110000000000003</v>
      </c>
      <c r="I12">
        <v>0.72499999999999998</v>
      </c>
      <c r="J12">
        <v>0.77390000000000003</v>
      </c>
      <c r="K12">
        <v>0.81759999999999999</v>
      </c>
      <c r="L12">
        <v>0.85619999999999996</v>
      </c>
      <c r="M12">
        <v>0.88980000000000004</v>
      </c>
      <c r="N12">
        <v>0.91820000000000002</v>
      </c>
      <c r="O12">
        <v>0.9415</v>
      </c>
      <c r="P12">
        <v>0.9597</v>
      </c>
      <c r="Q12">
        <v>0.97289999999999999</v>
      </c>
      <c r="R12">
        <v>0.98380000000000001</v>
      </c>
      <c r="S12">
        <v>0.99329999999999996</v>
      </c>
      <c r="T12">
        <v>0.99880000000000002</v>
      </c>
      <c r="U12">
        <v>1</v>
      </c>
      <c r="V12">
        <v>1</v>
      </c>
      <c r="W12">
        <v>1</v>
      </c>
      <c r="X12">
        <v>1</v>
      </c>
      <c r="Y12">
        <v>1</v>
      </c>
      <c r="Z12">
        <v>1</v>
      </c>
      <c r="AA12">
        <v>1</v>
      </c>
      <c r="AB12">
        <v>1</v>
      </c>
      <c r="AC12">
        <v>1</v>
      </c>
      <c r="AD12">
        <v>1</v>
      </c>
      <c r="AE12">
        <v>0.99990000000000001</v>
      </c>
      <c r="AF12">
        <v>0.99919999999999998</v>
      </c>
      <c r="AG12">
        <v>0.99770000000000003</v>
      </c>
      <c r="AH12">
        <v>0.99529999999999996</v>
      </c>
      <c r="AI12">
        <v>0.99209999999999998</v>
      </c>
      <c r="AJ12">
        <v>0.98809999999999998</v>
      </c>
      <c r="AK12">
        <v>0.98329999999999995</v>
      </c>
      <c r="AL12">
        <v>0.97760000000000002</v>
      </c>
      <c r="AM12">
        <v>0.97109999999999996</v>
      </c>
      <c r="AN12">
        <v>0.9637</v>
      </c>
      <c r="AO12">
        <v>0.95599999999999996</v>
      </c>
      <c r="AP12">
        <v>0.94840000000000002</v>
      </c>
      <c r="AQ12">
        <v>0.94069999999999998</v>
      </c>
      <c r="AR12">
        <v>0.93300000000000005</v>
      </c>
      <c r="AS12">
        <v>0.92530000000000001</v>
      </c>
      <c r="AT12">
        <v>0.91759999999999997</v>
      </c>
      <c r="AU12">
        <v>0.91</v>
      </c>
      <c r="AV12">
        <v>0.90229999999999999</v>
      </c>
      <c r="AW12">
        <v>0.89459999999999995</v>
      </c>
      <c r="AX12">
        <v>0.88690000000000002</v>
      </c>
      <c r="AY12">
        <v>0.87929999999999997</v>
      </c>
      <c r="AZ12">
        <v>0.87160000000000004</v>
      </c>
      <c r="BA12">
        <v>0.8639</v>
      </c>
      <c r="BB12">
        <v>0.85619999999999996</v>
      </c>
      <c r="BC12">
        <v>0.84860000000000002</v>
      </c>
      <c r="BD12">
        <v>0.84089999999999998</v>
      </c>
      <c r="BE12">
        <v>0.83320000000000005</v>
      </c>
      <c r="BF12">
        <v>0.82550000000000001</v>
      </c>
      <c r="BG12">
        <v>0.81779999999999997</v>
      </c>
      <c r="BH12">
        <v>0.81020000000000003</v>
      </c>
      <c r="BI12">
        <v>0.80249999999999999</v>
      </c>
      <c r="BJ12">
        <v>0.79479999999999995</v>
      </c>
      <c r="BK12">
        <v>0.78710000000000002</v>
      </c>
      <c r="BL12">
        <v>0.77949999999999997</v>
      </c>
      <c r="BM12">
        <v>0.77180000000000004</v>
      </c>
      <c r="BN12">
        <v>0.7641</v>
      </c>
      <c r="BO12">
        <v>0.75639999999999996</v>
      </c>
      <c r="BP12">
        <v>0.74880000000000002</v>
      </c>
      <c r="BQ12">
        <v>0.74109999999999998</v>
      </c>
      <c r="BR12">
        <v>0.73340000000000005</v>
      </c>
      <c r="BS12">
        <v>0.72540000000000004</v>
      </c>
      <c r="BT12">
        <v>0.7167</v>
      </c>
      <c r="BU12">
        <v>0.70730000000000004</v>
      </c>
      <c r="BV12">
        <v>0.69720000000000004</v>
      </c>
      <c r="BW12">
        <v>0.68659999999999999</v>
      </c>
      <c r="BX12">
        <v>0.67520000000000002</v>
      </c>
      <c r="BY12">
        <v>0.66310000000000002</v>
      </c>
      <c r="BZ12">
        <v>0.65029999999999999</v>
      </c>
      <c r="CA12">
        <v>0.63690000000000002</v>
      </c>
      <c r="CB12">
        <v>0.62270000000000003</v>
      </c>
      <c r="CC12">
        <v>0.60799999999999998</v>
      </c>
      <c r="CD12">
        <v>0.59250000000000003</v>
      </c>
      <c r="CE12">
        <v>0.57630000000000003</v>
      </c>
      <c r="CF12">
        <v>0.5595</v>
      </c>
      <c r="CG12">
        <v>0.54200000000000004</v>
      </c>
      <c r="CH12">
        <v>0.52380000000000004</v>
      </c>
      <c r="CI12">
        <v>0.50490000000000002</v>
      </c>
      <c r="CJ12">
        <v>0.4854</v>
      </c>
      <c r="CK12">
        <v>0.4652</v>
      </c>
      <c r="CL12">
        <v>0.44429999999999997</v>
      </c>
      <c r="CM12">
        <v>0.42280000000000001</v>
      </c>
      <c r="CN12">
        <v>0.40050000000000002</v>
      </c>
      <c r="CO12">
        <v>0.37759999999999999</v>
      </c>
      <c r="CP12">
        <v>0.35399999999999998</v>
      </c>
      <c r="CQ12">
        <v>0.32969999999999999</v>
      </c>
      <c r="CR12">
        <v>0.30470000000000003</v>
      </c>
      <c r="CS12">
        <v>0.27910000000000001</v>
      </c>
      <c r="CT12">
        <v>0.25269999999999998</v>
      </c>
      <c r="CU12">
        <v>0.2258</v>
      </c>
      <c r="CV12">
        <v>0.1981</v>
      </c>
    </row>
    <row r="13" spans="1:100">
      <c r="A13" t="s">
        <v>25</v>
      </c>
      <c r="B13" t="s">
        <v>26</v>
      </c>
      <c r="C13">
        <v>20</v>
      </c>
      <c r="D13">
        <v>3260</v>
      </c>
      <c r="E13">
        <v>0.46529999999999999</v>
      </c>
      <c r="F13">
        <v>0.53859999999999997</v>
      </c>
      <c r="G13">
        <v>0.60640000000000005</v>
      </c>
      <c r="H13">
        <v>0.66839999999999999</v>
      </c>
      <c r="I13">
        <v>0.7248</v>
      </c>
      <c r="J13">
        <v>0.77569999999999995</v>
      </c>
      <c r="K13">
        <v>0.82099999999999995</v>
      </c>
      <c r="L13">
        <v>0.86050000000000004</v>
      </c>
      <c r="M13">
        <v>0.89449999999999996</v>
      </c>
      <c r="N13">
        <v>0.92290000000000005</v>
      </c>
      <c r="O13">
        <v>0.94569999999999999</v>
      </c>
      <c r="P13">
        <v>0.96279999999999999</v>
      </c>
      <c r="Q13">
        <v>0.97460000000000002</v>
      </c>
      <c r="R13">
        <v>0.98480000000000001</v>
      </c>
      <c r="S13">
        <v>0.99470000000000003</v>
      </c>
      <c r="T13">
        <v>0.99980000000000002</v>
      </c>
      <c r="U13">
        <v>1</v>
      </c>
      <c r="V13">
        <v>1</v>
      </c>
      <c r="W13">
        <v>1</v>
      </c>
      <c r="X13">
        <v>1</v>
      </c>
      <c r="Y13">
        <v>1</v>
      </c>
      <c r="Z13">
        <v>1</v>
      </c>
      <c r="AA13">
        <v>1</v>
      </c>
      <c r="AB13">
        <v>1</v>
      </c>
      <c r="AC13">
        <v>1</v>
      </c>
      <c r="AD13">
        <v>1</v>
      </c>
      <c r="AE13">
        <v>1</v>
      </c>
      <c r="AF13">
        <v>0.99950000000000006</v>
      </c>
      <c r="AG13">
        <v>0.99809999999999999</v>
      </c>
      <c r="AH13">
        <v>0.99590000000000001</v>
      </c>
      <c r="AI13">
        <v>0.99270000000000003</v>
      </c>
      <c r="AJ13">
        <v>0.98870000000000002</v>
      </c>
      <c r="AK13">
        <v>0.98380000000000001</v>
      </c>
      <c r="AL13">
        <v>0.97799999999999998</v>
      </c>
      <c r="AM13">
        <v>0.97130000000000005</v>
      </c>
      <c r="AN13">
        <v>0.96379999999999999</v>
      </c>
      <c r="AO13">
        <v>0.95599999999999996</v>
      </c>
      <c r="AP13">
        <v>0.94830000000000003</v>
      </c>
      <c r="AQ13">
        <v>0.9405</v>
      </c>
      <c r="AR13">
        <v>0.93279999999999996</v>
      </c>
      <c r="AS13">
        <v>0.92500000000000004</v>
      </c>
      <c r="AT13">
        <v>0.91720000000000002</v>
      </c>
      <c r="AU13">
        <v>0.90949999999999998</v>
      </c>
      <c r="AV13">
        <v>0.90169999999999995</v>
      </c>
      <c r="AW13">
        <v>0.89400000000000002</v>
      </c>
      <c r="AX13">
        <v>0.88619999999999999</v>
      </c>
      <c r="AY13">
        <v>0.87839999999999996</v>
      </c>
      <c r="AZ13">
        <v>0.87070000000000003</v>
      </c>
      <c r="BA13">
        <v>0.8629</v>
      </c>
      <c r="BB13">
        <v>0.85519999999999996</v>
      </c>
      <c r="BC13">
        <v>0.84740000000000004</v>
      </c>
      <c r="BD13">
        <v>0.83960000000000001</v>
      </c>
      <c r="BE13">
        <v>0.83189999999999997</v>
      </c>
      <c r="BF13">
        <v>0.82410000000000005</v>
      </c>
      <c r="BG13">
        <v>0.81640000000000001</v>
      </c>
      <c r="BH13">
        <v>0.80859999999999999</v>
      </c>
      <c r="BI13">
        <v>0.80079999999999996</v>
      </c>
      <c r="BJ13">
        <v>0.79310000000000003</v>
      </c>
      <c r="BK13">
        <v>0.7853</v>
      </c>
      <c r="BL13">
        <v>0.77759999999999996</v>
      </c>
      <c r="BM13">
        <v>0.76980000000000004</v>
      </c>
      <c r="BN13">
        <v>0.76200000000000001</v>
      </c>
      <c r="BO13">
        <v>0.75429999999999997</v>
      </c>
      <c r="BP13">
        <v>0.74650000000000005</v>
      </c>
      <c r="BQ13">
        <v>0.73880000000000001</v>
      </c>
      <c r="BR13">
        <v>0.73099999999999998</v>
      </c>
      <c r="BS13">
        <v>0.72289999999999999</v>
      </c>
      <c r="BT13">
        <v>0.71409999999999996</v>
      </c>
      <c r="BU13">
        <v>0.70469999999999999</v>
      </c>
      <c r="BV13">
        <v>0.69450000000000001</v>
      </c>
      <c r="BW13">
        <v>0.68369999999999997</v>
      </c>
      <c r="BX13">
        <v>0.67220000000000002</v>
      </c>
      <c r="BY13">
        <v>0.66</v>
      </c>
      <c r="BZ13">
        <v>0.6472</v>
      </c>
      <c r="CA13">
        <v>0.63360000000000005</v>
      </c>
      <c r="CB13">
        <v>0.61929999999999996</v>
      </c>
      <c r="CC13">
        <v>0.60450000000000004</v>
      </c>
      <c r="CD13">
        <v>0.58889999999999998</v>
      </c>
      <c r="CE13">
        <v>0.5726</v>
      </c>
      <c r="CF13">
        <v>0.55569999999999997</v>
      </c>
      <c r="CG13">
        <v>0.53800000000000003</v>
      </c>
      <c r="CH13">
        <v>0.51959999999999995</v>
      </c>
      <c r="CI13">
        <v>0.50070000000000003</v>
      </c>
      <c r="CJ13">
        <v>0.48099999999999998</v>
      </c>
      <c r="CK13">
        <v>0.46060000000000001</v>
      </c>
      <c r="CL13">
        <v>0.43959999999999999</v>
      </c>
      <c r="CM13">
        <v>0.41789999999999999</v>
      </c>
      <c r="CN13">
        <v>0.39539999999999997</v>
      </c>
      <c r="CO13">
        <v>0.37240000000000001</v>
      </c>
      <c r="CP13">
        <v>0.34860000000000002</v>
      </c>
      <c r="CQ13">
        <v>0.32419999999999999</v>
      </c>
      <c r="CR13">
        <v>0.29899999999999999</v>
      </c>
      <c r="CS13">
        <v>0.2732</v>
      </c>
      <c r="CT13">
        <v>0.2467</v>
      </c>
      <c r="CU13">
        <v>0.2195</v>
      </c>
      <c r="CV13">
        <v>0.19170000000000001</v>
      </c>
    </row>
    <row r="14" spans="1:100">
      <c r="A14" t="s">
        <v>27</v>
      </c>
      <c r="B14" t="s">
        <v>28</v>
      </c>
      <c r="C14">
        <v>21.0975</v>
      </c>
      <c r="D14">
        <v>3451</v>
      </c>
      <c r="E14">
        <v>0.46210000000000001</v>
      </c>
      <c r="F14">
        <v>0.53639999999999999</v>
      </c>
      <c r="G14">
        <v>0.60499999999999998</v>
      </c>
      <c r="H14">
        <v>0.66779999999999995</v>
      </c>
      <c r="I14">
        <v>0.7248</v>
      </c>
      <c r="J14">
        <v>0.7762</v>
      </c>
      <c r="K14">
        <v>0.82179999999999997</v>
      </c>
      <c r="L14">
        <v>0.86160000000000003</v>
      </c>
      <c r="M14">
        <v>0.89570000000000005</v>
      </c>
      <c r="N14">
        <v>0.92410000000000003</v>
      </c>
      <c r="O14">
        <v>0.94669999999999999</v>
      </c>
      <c r="P14">
        <v>0.96360000000000001</v>
      </c>
      <c r="Q14">
        <v>0.97499999999999998</v>
      </c>
      <c r="R14">
        <v>0.98499999999999999</v>
      </c>
      <c r="S14">
        <v>0.995</v>
      </c>
      <c r="T14">
        <v>1</v>
      </c>
      <c r="U14">
        <v>1</v>
      </c>
      <c r="V14">
        <v>1</v>
      </c>
      <c r="W14">
        <v>1</v>
      </c>
      <c r="X14">
        <v>1</v>
      </c>
      <c r="Y14">
        <v>1</v>
      </c>
      <c r="Z14">
        <v>1</v>
      </c>
      <c r="AA14">
        <v>1</v>
      </c>
      <c r="AB14">
        <v>1</v>
      </c>
      <c r="AC14">
        <v>1</v>
      </c>
      <c r="AD14">
        <v>1</v>
      </c>
      <c r="AE14">
        <v>1</v>
      </c>
      <c r="AF14">
        <v>0.99960000000000004</v>
      </c>
      <c r="AG14">
        <v>0.99819999999999998</v>
      </c>
      <c r="AH14">
        <v>0.996</v>
      </c>
      <c r="AI14">
        <v>0.99280000000000002</v>
      </c>
      <c r="AJ14">
        <v>0.98880000000000001</v>
      </c>
      <c r="AK14">
        <v>0.9839</v>
      </c>
      <c r="AL14">
        <v>0.97809999999999997</v>
      </c>
      <c r="AM14">
        <v>0.97140000000000004</v>
      </c>
      <c r="AN14">
        <v>0.96379999999999999</v>
      </c>
      <c r="AO14">
        <v>0.95599999999999996</v>
      </c>
      <c r="AP14">
        <v>0.94830000000000003</v>
      </c>
      <c r="AQ14">
        <v>0.9405</v>
      </c>
      <c r="AR14">
        <v>0.93269999999999997</v>
      </c>
      <c r="AS14">
        <v>0.92490000000000006</v>
      </c>
      <c r="AT14">
        <v>0.91710000000000003</v>
      </c>
      <c r="AU14">
        <v>0.90939999999999999</v>
      </c>
      <c r="AV14">
        <v>0.90159999999999996</v>
      </c>
      <c r="AW14">
        <v>0.89380000000000004</v>
      </c>
      <c r="AX14">
        <v>0.88600000000000001</v>
      </c>
      <c r="AY14">
        <v>0.87819999999999998</v>
      </c>
      <c r="AZ14">
        <v>0.87050000000000005</v>
      </c>
      <c r="BA14">
        <v>0.86270000000000002</v>
      </c>
      <c r="BB14">
        <v>0.85489999999999999</v>
      </c>
      <c r="BC14">
        <v>0.84709999999999996</v>
      </c>
      <c r="BD14">
        <v>0.83930000000000005</v>
      </c>
      <c r="BE14">
        <v>0.83160000000000001</v>
      </c>
      <c r="BF14">
        <v>0.82379999999999998</v>
      </c>
      <c r="BG14">
        <v>0.81599999999999995</v>
      </c>
      <c r="BH14">
        <v>0.80820000000000003</v>
      </c>
      <c r="BI14">
        <v>0.8004</v>
      </c>
      <c r="BJ14">
        <v>0.79269999999999996</v>
      </c>
      <c r="BK14">
        <v>0.78490000000000004</v>
      </c>
      <c r="BL14">
        <v>0.77710000000000001</v>
      </c>
      <c r="BM14">
        <v>0.76929999999999998</v>
      </c>
      <c r="BN14">
        <v>0.76149999999999995</v>
      </c>
      <c r="BO14">
        <v>0.75380000000000003</v>
      </c>
      <c r="BP14">
        <v>0.746</v>
      </c>
      <c r="BQ14">
        <v>0.73819999999999997</v>
      </c>
      <c r="BR14">
        <v>0.73040000000000005</v>
      </c>
      <c r="BS14">
        <v>0.72230000000000005</v>
      </c>
      <c r="BT14">
        <v>0.71350000000000002</v>
      </c>
      <c r="BU14">
        <v>0.70399999999999996</v>
      </c>
      <c r="BV14">
        <v>0.69379999999999997</v>
      </c>
      <c r="BW14">
        <v>0.68300000000000005</v>
      </c>
      <c r="BX14">
        <v>0.67149999999999999</v>
      </c>
      <c r="BY14">
        <v>0.6593</v>
      </c>
      <c r="BZ14">
        <v>0.64639999999999997</v>
      </c>
      <c r="CA14">
        <v>0.63280000000000003</v>
      </c>
      <c r="CB14">
        <v>0.61850000000000005</v>
      </c>
      <c r="CC14">
        <v>0.60360000000000003</v>
      </c>
      <c r="CD14">
        <v>0.58799999999999997</v>
      </c>
      <c r="CE14">
        <v>0.57169999999999999</v>
      </c>
      <c r="CF14">
        <v>0.55469999999999997</v>
      </c>
      <c r="CG14">
        <v>0.53700000000000003</v>
      </c>
      <c r="CH14">
        <v>0.51859999999999995</v>
      </c>
      <c r="CI14">
        <v>0.49959999999999999</v>
      </c>
      <c r="CJ14">
        <v>0.47989999999999999</v>
      </c>
      <c r="CK14">
        <v>0.45950000000000002</v>
      </c>
      <c r="CL14">
        <v>0.43840000000000001</v>
      </c>
      <c r="CM14">
        <v>0.41670000000000001</v>
      </c>
      <c r="CN14">
        <v>0.39419999999999999</v>
      </c>
      <c r="CO14">
        <v>0.37109999999999999</v>
      </c>
      <c r="CP14">
        <v>0.3473</v>
      </c>
      <c r="CQ14">
        <v>0.32279999999999998</v>
      </c>
      <c r="CR14">
        <v>0.29759999999999998</v>
      </c>
      <c r="CS14">
        <v>0.27179999999999999</v>
      </c>
      <c r="CT14">
        <v>0.2452</v>
      </c>
      <c r="CU14">
        <v>0.218</v>
      </c>
      <c r="CV14">
        <v>0.19009999999999999</v>
      </c>
    </row>
    <row r="15" spans="1:100">
      <c r="A15" t="s">
        <v>29</v>
      </c>
      <c r="B15" t="s">
        <v>30</v>
      </c>
      <c r="C15">
        <v>25</v>
      </c>
      <c r="D15">
        <v>4110</v>
      </c>
      <c r="E15">
        <v>0.45700000000000002</v>
      </c>
      <c r="F15">
        <v>0.52939999999999998</v>
      </c>
      <c r="G15">
        <v>0.59650000000000003</v>
      </c>
      <c r="H15">
        <v>0.65800000000000003</v>
      </c>
      <c r="I15">
        <v>0.71409999999999996</v>
      </c>
      <c r="J15">
        <v>0.76490000000000002</v>
      </c>
      <c r="K15">
        <v>0.81020000000000003</v>
      </c>
      <c r="L15">
        <v>0.85009999999999997</v>
      </c>
      <c r="M15">
        <v>0.88449999999999995</v>
      </c>
      <c r="N15">
        <v>0.91359999999999997</v>
      </c>
      <c r="O15">
        <v>0.93720000000000003</v>
      </c>
      <c r="P15">
        <v>0.95540000000000003</v>
      </c>
      <c r="Q15">
        <v>0.96889999999999998</v>
      </c>
      <c r="R15">
        <v>0.98080000000000001</v>
      </c>
      <c r="S15">
        <v>0.99180000000000001</v>
      </c>
      <c r="T15">
        <v>0.998</v>
      </c>
      <c r="U15">
        <v>0.99950000000000006</v>
      </c>
      <c r="V15">
        <v>1</v>
      </c>
      <c r="W15">
        <v>1</v>
      </c>
      <c r="X15">
        <v>1</v>
      </c>
      <c r="Y15">
        <v>1</v>
      </c>
      <c r="Z15">
        <v>1</v>
      </c>
      <c r="AA15">
        <v>1</v>
      </c>
      <c r="AB15">
        <v>1</v>
      </c>
      <c r="AC15">
        <v>1</v>
      </c>
      <c r="AD15">
        <v>1</v>
      </c>
      <c r="AE15">
        <v>1</v>
      </c>
      <c r="AF15">
        <v>0.99970000000000003</v>
      </c>
      <c r="AG15">
        <v>0.99860000000000004</v>
      </c>
      <c r="AH15">
        <v>0.997</v>
      </c>
      <c r="AI15">
        <v>0.99460000000000004</v>
      </c>
      <c r="AJ15">
        <v>0.99150000000000005</v>
      </c>
      <c r="AK15">
        <v>0.98729999999999996</v>
      </c>
      <c r="AL15">
        <v>0.98180000000000001</v>
      </c>
      <c r="AM15">
        <v>0.97509999999999997</v>
      </c>
      <c r="AN15">
        <v>0.96740000000000004</v>
      </c>
      <c r="AO15">
        <v>0.95950000000000002</v>
      </c>
      <c r="AP15">
        <v>0.9516</v>
      </c>
      <c r="AQ15">
        <v>0.94369999999999998</v>
      </c>
      <c r="AR15">
        <v>0.93579999999999997</v>
      </c>
      <c r="AS15">
        <v>0.92789999999999995</v>
      </c>
      <c r="AT15">
        <v>0.92</v>
      </c>
      <c r="AU15">
        <v>0.91220000000000001</v>
      </c>
      <c r="AV15">
        <v>0.90429999999999999</v>
      </c>
      <c r="AW15">
        <v>0.89639999999999997</v>
      </c>
      <c r="AX15">
        <v>0.88849999999999996</v>
      </c>
      <c r="AY15">
        <v>0.88060000000000005</v>
      </c>
      <c r="AZ15">
        <v>0.87280000000000002</v>
      </c>
      <c r="BA15">
        <v>0.8649</v>
      </c>
      <c r="BB15">
        <v>0.85699999999999998</v>
      </c>
      <c r="BC15">
        <v>0.84909999999999997</v>
      </c>
      <c r="BD15">
        <v>0.84119999999999995</v>
      </c>
      <c r="BE15">
        <v>0.83340000000000003</v>
      </c>
      <c r="BF15">
        <v>0.82550000000000001</v>
      </c>
      <c r="BG15">
        <v>0.81759999999999999</v>
      </c>
      <c r="BH15">
        <v>0.80969999999999998</v>
      </c>
      <c r="BI15">
        <v>0.80179999999999996</v>
      </c>
      <c r="BJ15">
        <v>0.79400000000000004</v>
      </c>
      <c r="BK15">
        <v>0.78610000000000002</v>
      </c>
      <c r="BL15">
        <v>0.7782</v>
      </c>
      <c r="BM15">
        <v>0.77029999999999998</v>
      </c>
      <c r="BN15">
        <v>0.76239999999999997</v>
      </c>
      <c r="BO15">
        <v>0.75460000000000005</v>
      </c>
      <c r="BP15">
        <v>0.74670000000000003</v>
      </c>
      <c r="BQ15">
        <v>0.73880000000000001</v>
      </c>
      <c r="BR15">
        <v>0.73089999999999999</v>
      </c>
      <c r="BS15">
        <v>0.72270000000000001</v>
      </c>
      <c r="BT15">
        <v>0.71399999999999997</v>
      </c>
      <c r="BU15">
        <v>0.7046</v>
      </c>
      <c r="BV15">
        <v>0.69440000000000002</v>
      </c>
      <c r="BW15">
        <v>0.68369999999999997</v>
      </c>
      <c r="BX15">
        <v>0.67220000000000002</v>
      </c>
      <c r="BY15">
        <v>0.66</v>
      </c>
      <c r="BZ15">
        <v>0.6472</v>
      </c>
      <c r="CA15">
        <v>0.63360000000000005</v>
      </c>
      <c r="CB15">
        <v>0.61929999999999996</v>
      </c>
      <c r="CC15">
        <v>0.60450000000000004</v>
      </c>
      <c r="CD15">
        <v>0.58889999999999998</v>
      </c>
      <c r="CE15">
        <v>0.5726</v>
      </c>
      <c r="CF15">
        <v>0.55559999999999998</v>
      </c>
      <c r="CG15">
        <v>0.53790000000000004</v>
      </c>
      <c r="CH15">
        <v>0.51949999999999996</v>
      </c>
      <c r="CI15">
        <v>0.50049999999999994</v>
      </c>
      <c r="CJ15">
        <v>0.48080000000000001</v>
      </c>
      <c r="CK15">
        <v>0.46039999999999998</v>
      </c>
      <c r="CL15">
        <v>0.43930000000000002</v>
      </c>
      <c r="CM15">
        <v>0.41749999999999998</v>
      </c>
      <c r="CN15">
        <v>0.39500000000000002</v>
      </c>
      <c r="CO15">
        <v>0.37190000000000001</v>
      </c>
      <c r="CP15">
        <v>0.34799999999999998</v>
      </c>
      <c r="CQ15">
        <v>0.32350000000000001</v>
      </c>
      <c r="CR15">
        <v>0.29830000000000001</v>
      </c>
      <c r="CS15">
        <v>0.27239999999999998</v>
      </c>
      <c r="CT15">
        <v>0.24579999999999999</v>
      </c>
      <c r="CU15">
        <v>0.2185</v>
      </c>
      <c r="CV15">
        <v>0.1905</v>
      </c>
    </row>
    <row r="16" spans="1:100">
      <c r="A16" t="s">
        <v>31</v>
      </c>
      <c r="B16" t="s">
        <v>32</v>
      </c>
      <c r="C16">
        <v>30</v>
      </c>
      <c r="D16">
        <v>4980</v>
      </c>
      <c r="E16">
        <v>0.4516</v>
      </c>
      <c r="F16">
        <v>0.52200000000000002</v>
      </c>
      <c r="G16">
        <v>0.58730000000000004</v>
      </c>
      <c r="H16">
        <v>0.64749999999999996</v>
      </c>
      <c r="I16">
        <v>0.70269999999999999</v>
      </c>
      <c r="J16">
        <v>0.75280000000000002</v>
      </c>
      <c r="K16">
        <v>0.79779999999999995</v>
      </c>
      <c r="L16">
        <v>0.8377</v>
      </c>
      <c r="M16">
        <v>0.87250000000000005</v>
      </c>
      <c r="N16">
        <v>0.90229999999999999</v>
      </c>
      <c r="O16">
        <v>0.92689999999999995</v>
      </c>
      <c r="P16">
        <v>0.94650000000000001</v>
      </c>
      <c r="Q16">
        <v>0.96230000000000004</v>
      </c>
      <c r="R16">
        <v>0.97640000000000005</v>
      </c>
      <c r="S16">
        <v>0.98839999999999995</v>
      </c>
      <c r="T16">
        <v>0.99590000000000001</v>
      </c>
      <c r="U16">
        <v>0.999</v>
      </c>
      <c r="V16">
        <v>1</v>
      </c>
      <c r="W16">
        <v>1</v>
      </c>
      <c r="X16">
        <v>1</v>
      </c>
      <c r="Y16">
        <v>1</v>
      </c>
      <c r="Z16">
        <v>1</v>
      </c>
      <c r="AA16">
        <v>1</v>
      </c>
      <c r="AB16">
        <v>1</v>
      </c>
      <c r="AC16">
        <v>1</v>
      </c>
      <c r="AD16">
        <v>1</v>
      </c>
      <c r="AE16">
        <v>1</v>
      </c>
      <c r="AF16">
        <v>0.99980000000000002</v>
      </c>
      <c r="AG16">
        <v>0.99909999999999999</v>
      </c>
      <c r="AH16">
        <v>0.998</v>
      </c>
      <c r="AI16">
        <v>0.99650000000000005</v>
      </c>
      <c r="AJ16">
        <v>0.99439999999999995</v>
      </c>
      <c r="AK16">
        <v>0.99099999999999999</v>
      </c>
      <c r="AL16">
        <v>0.9859</v>
      </c>
      <c r="AM16">
        <v>0.97909999999999997</v>
      </c>
      <c r="AN16">
        <v>0.97119999999999995</v>
      </c>
      <c r="AO16">
        <v>0.96319999999999995</v>
      </c>
      <c r="AP16">
        <v>0.95520000000000005</v>
      </c>
      <c r="AQ16">
        <v>0.94720000000000004</v>
      </c>
      <c r="AR16">
        <v>0.93920000000000003</v>
      </c>
      <c r="AS16">
        <v>0.93120000000000003</v>
      </c>
      <c r="AT16">
        <v>0.92320000000000002</v>
      </c>
      <c r="AU16">
        <v>0.91520000000000001</v>
      </c>
      <c r="AV16">
        <v>0.90720000000000001</v>
      </c>
      <c r="AW16">
        <v>0.8992</v>
      </c>
      <c r="AX16">
        <v>0.89119999999999999</v>
      </c>
      <c r="AY16">
        <v>0.88319999999999999</v>
      </c>
      <c r="AZ16">
        <v>0.87529999999999997</v>
      </c>
      <c r="BA16">
        <v>0.86729999999999996</v>
      </c>
      <c r="BB16">
        <v>0.85929999999999995</v>
      </c>
      <c r="BC16">
        <v>0.85129999999999995</v>
      </c>
      <c r="BD16">
        <v>0.84330000000000005</v>
      </c>
      <c r="BE16">
        <v>0.83530000000000004</v>
      </c>
      <c r="BF16">
        <v>0.82730000000000004</v>
      </c>
      <c r="BG16">
        <v>0.81930000000000003</v>
      </c>
      <c r="BH16">
        <v>0.81130000000000002</v>
      </c>
      <c r="BI16">
        <v>0.80330000000000001</v>
      </c>
      <c r="BJ16">
        <v>0.79530000000000001</v>
      </c>
      <c r="BK16">
        <v>0.7873</v>
      </c>
      <c r="BL16">
        <v>0.77929999999999999</v>
      </c>
      <c r="BM16">
        <v>0.77129999999999999</v>
      </c>
      <c r="BN16">
        <v>0.76329999999999998</v>
      </c>
      <c r="BO16">
        <v>0.75539999999999996</v>
      </c>
      <c r="BP16">
        <v>0.74739999999999995</v>
      </c>
      <c r="BQ16">
        <v>0.73939999999999995</v>
      </c>
      <c r="BR16">
        <v>0.73140000000000005</v>
      </c>
      <c r="BS16">
        <v>0.72319999999999995</v>
      </c>
      <c r="BT16">
        <v>0.71450000000000002</v>
      </c>
      <c r="BU16">
        <v>0.70520000000000005</v>
      </c>
      <c r="BV16">
        <v>0.69510000000000005</v>
      </c>
      <c r="BW16">
        <v>0.68440000000000001</v>
      </c>
      <c r="BX16">
        <v>0.67290000000000005</v>
      </c>
      <c r="BY16">
        <v>0.66080000000000005</v>
      </c>
      <c r="BZ16">
        <v>0.64800000000000002</v>
      </c>
      <c r="CA16">
        <v>0.63449999999999995</v>
      </c>
      <c r="CB16">
        <v>0.62019999999999997</v>
      </c>
      <c r="CC16">
        <v>0.60540000000000005</v>
      </c>
      <c r="CD16">
        <v>0.58979999999999999</v>
      </c>
      <c r="CE16">
        <v>0.57350000000000001</v>
      </c>
      <c r="CF16">
        <v>0.55649999999999999</v>
      </c>
      <c r="CG16">
        <v>0.53890000000000005</v>
      </c>
      <c r="CH16">
        <v>0.52049999999999996</v>
      </c>
      <c r="CI16">
        <v>0.50149999999999995</v>
      </c>
      <c r="CJ16">
        <v>0.48170000000000002</v>
      </c>
      <c r="CK16">
        <v>0.46129999999999999</v>
      </c>
      <c r="CL16">
        <v>0.44019999999999998</v>
      </c>
      <c r="CM16">
        <v>0.41839999999999999</v>
      </c>
      <c r="CN16">
        <v>0.39589999999999997</v>
      </c>
      <c r="CO16">
        <v>0.37269999999999998</v>
      </c>
      <c r="CP16">
        <v>0.3488</v>
      </c>
      <c r="CQ16">
        <v>0.32429999999999998</v>
      </c>
      <c r="CR16">
        <v>0.29899999999999999</v>
      </c>
      <c r="CS16">
        <v>0.27310000000000001</v>
      </c>
      <c r="CT16">
        <v>0.24640000000000001</v>
      </c>
      <c r="CU16">
        <v>0.21909999999999999</v>
      </c>
      <c r="CV16">
        <v>0.191</v>
      </c>
    </row>
    <row r="17" spans="1:100">
      <c r="A17" t="s">
        <v>33</v>
      </c>
      <c r="B17" t="s">
        <v>34</v>
      </c>
      <c r="C17">
        <v>42.195</v>
      </c>
      <c r="D17">
        <v>7235</v>
      </c>
      <c r="E17">
        <v>0.44140000000000001</v>
      </c>
      <c r="F17">
        <v>0.50800000000000001</v>
      </c>
      <c r="G17">
        <v>0.57020000000000004</v>
      </c>
      <c r="H17">
        <v>0.62790000000000001</v>
      </c>
      <c r="I17">
        <v>0.68120000000000003</v>
      </c>
      <c r="J17">
        <v>0.73009999999999997</v>
      </c>
      <c r="K17">
        <v>0.77449999999999997</v>
      </c>
      <c r="L17">
        <v>0.8145</v>
      </c>
      <c r="M17">
        <v>0.85</v>
      </c>
      <c r="N17">
        <v>0.88109999999999999</v>
      </c>
      <c r="O17">
        <v>0.90780000000000005</v>
      </c>
      <c r="P17">
        <v>0.93</v>
      </c>
      <c r="Q17">
        <v>0.95</v>
      </c>
      <c r="R17">
        <v>0.96799999999999997</v>
      </c>
      <c r="S17">
        <v>0.98199999999999998</v>
      </c>
      <c r="T17">
        <v>0.99199999999999999</v>
      </c>
      <c r="U17">
        <v>0.998</v>
      </c>
      <c r="V17">
        <v>1</v>
      </c>
      <c r="W17">
        <v>1</v>
      </c>
      <c r="X17">
        <v>1</v>
      </c>
      <c r="Y17">
        <v>1</v>
      </c>
      <c r="Z17">
        <v>1</v>
      </c>
      <c r="AA17">
        <v>1</v>
      </c>
      <c r="AB17">
        <v>1</v>
      </c>
      <c r="AC17">
        <v>1</v>
      </c>
      <c r="AD17">
        <v>1</v>
      </c>
      <c r="AE17">
        <v>1</v>
      </c>
      <c r="AF17">
        <v>1</v>
      </c>
      <c r="AG17">
        <v>1</v>
      </c>
      <c r="AH17">
        <v>1</v>
      </c>
      <c r="AI17">
        <v>1</v>
      </c>
      <c r="AJ17">
        <v>0.99990000000000001</v>
      </c>
      <c r="AK17">
        <v>0.99790000000000001</v>
      </c>
      <c r="AL17">
        <v>0.99339999999999995</v>
      </c>
      <c r="AM17">
        <v>0.98650000000000004</v>
      </c>
      <c r="AN17">
        <v>0.97829999999999995</v>
      </c>
      <c r="AO17">
        <v>0.97009999999999996</v>
      </c>
      <c r="AP17">
        <v>0.96189999999999998</v>
      </c>
      <c r="AQ17">
        <v>0.95369999999999999</v>
      </c>
      <c r="AR17">
        <v>0.94550000000000001</v>
      </c>
      <c r="AS17">
        <v>0.93730000000000002</v>
      </c>
      <c r="AT17">
        <v>0.92910000000000004</v>
      </c>
      <c r="AU17">
        <v>0.92090000000000005</v>
      </c>
      <c r="AV17">
        <v>0.91269999999999996</v>
      </c>
      <c r="AW17">
        <v>0.90449999999999997</v>
      </c>
      <c r="AX17">
        <v>0.89629999999999999</v>
      </c>
      <c r="AY17">
        <v>0.8881</v>
      </c>
      <c r="AZ17">
        <v>0.87990000000000002</v>
      </c>
      <c r="BA17">
        <v>0.87170000000000003</v>
      </c>
      <c r="BB17">
        <v>0.86350000000000005</v>
      </c>
      <c r="BC17">
        <v>0.85529999999999995</v>
      </c>
      <c r="BD17">
        <v>0.84709999999999996</v>
      </c>
      <c r="BE17">
        <v>0.83889999999999998</v>
      </c>
      <c r="BF17">
        <v>0.83069999999999999</v>
      </c>
      <c r="BG17">
        <v>0.82250000000000001</v>
      </c>
      <c r="BH17">
        <v>0.81430000000000002</v>
      </c>
      <c r="BI17">
        <v>0.80610000000000004</v>
      </c>
      <c r="BJ17">
        <v>0.79790000000000005</v>
      </c>
      <c r="BK17">
        <v>0.78969999999999996</v>
      </c>
      <c r="BL17">
        <v>0.78149999999999997</v>
      </c>
      <c r="BM17">
        <v>0.77329999999999999</v>
      </c>
      <c r="BN17">
        <v>0.7651</v>
      </c>
      <c r="BO17">
        <v>0.75690000000000002</v>
      </c>
      <c r="BP17">
        <v>0.74870000000000003</v>
      </c>
      <c r="BQ17">
        <v>0.74050000000000005</v>
      </c>
      <c r="BR17">
        <v>0.73229999999999995</v>
      </c>
      <c r="BS17">
        <v>0.72409999999999997</v>
      </c>
      <c r="BT17">
        <v>0.71550000000000002</v>
      </c>
      <c r="BU17">
        <v>0.70630000000000004</v>
      </c>
      <c r="BV17">
        <v>0.69630000000000003</v>
      </c>
      <c r="BW17">
        <v>0.68569999999999998</v>
      </c>
      <c r="BX17">
        <v>0.67430000000000001</v>
      </c>
      <c r="BY17">
        <v>0.6623</v>
      </c>
      <c r="BZ17">
        <v>0.64949999999999997</v>
      </c>
      <c r="CA17">
        <v>0.6361</v>
      </c>
      <c r="CB17">
        <v>0.62190000000000001</v>
      </c>
      <c r="CC17">
        <v>0.60709999999999997</v>
      </c>
      <c r="CD17">
        <v>0.59150000000000003</v>
      </c>
      <c r="CE17">
        <v>0.57530000000000003</v>
      </c>
      <c r="CF17">
        <v>0.55830000000000002</v>
      </c>
      <c r="CG17">
        <v>0.54069999999999996</v>
      </c>
      <c r="CH17">
        <v>0.52229999999999999</v>
      </c>
      <c r="CI17">
        <v>0.50329999999999997</v>
      </c>
      <c r="CJ17">
        <v>0.48349999999999999</v>
      </c>
      <c r="CK17">
        <v>0.46310000000000001</v>
      </c>
      <c r="CL17">
        <v>0.44190000000000002</v>
      </c>
      <c r="CM17">
        <v>0.42009999999999997</v>
      </c>
      <c r="CN17">
        <v>0.39750000000000002</v>
      </c>
      <c r="CO17">
        <v>0.37430000000000002</v>
      </c>
      <c r="CP17">
        <v>0.3503</v>
      </c>
      <c r="CQ17">
        <v>0.32569999999999999</v>
      </c>
      <c r="CR17">
        <v>0.30030000000000001</v>
      </c>
      <c r="CS17">
        <v>0.27429999999999999</v>
      </c>
      <c r="CT17">
        <v>0.2475</v>
      </c>
      <c r="CU17">
        <v>0.22009999999999999</v>
      </c>
      <c r="CV17">
        <v>0.19189999999999999</v>
      </c>
    </row>
    <row r="18" spans="1:100">
      <c r="A18" t="s">
        <v>35</v>
      </c>
      <c r="B18" t="s">
        <v>36</v>
      </c>
      <c r="C18">
        <v>50</v>
      </c>
      <c r="D18">
        <v>8820</v>
      </c>
      <c r="E18">
        <v>0.44140000000000001</v>
      </c>
      <c r="F18">
        <v>0.50800000000000001</v>
      </c>
      <c r="G18">
        <v>0.57020000000000004</v>
      </c>
      <c r="H18">
        <v>0.62790000000000001</v>
      </c>
      <c r="I18">
        <v>0.68120000000000003</v>
      </c>
      <c r="J18">
        <v>0.73009999999999997</v>
      </c>
      <c r="K18">
        <v>0.77449999999999997</v>
      </c>
      <c r="L18">
        <v>0.8145</v>
      </c>
      <c r="M18">
        <v>0.85</v>
      </c>
      <c r="N18">
        <v>0.88109999999999999</v>
      </c>
      <c r="O18">
        <v>0.90780000000000005</v>
      </c>
      <c r="P18">
        <v>0.93</v>
      </c>
      <c r="Q18">
        <v>0.95</v>
      </c>
      <c r="R18">
        <v>0.96799999999999997</v>
      </c>
      <c r="S18">
        <v>0.98199999999999998</v>
      </c>
      <c r="T18">
        <v>0.99199999999999999</v>
      </c>
      <c r="U18">
        <v>0.998</v>
      </c>
      <c r="V18">
        <v>1</v>
      </c>
      <c r="W18">
        <v>1</v>
      </c>
      <c r="X18">
        <v>1</v>
      </c>
      <c r="Y18">
        <v>1</v>
      </c>
      <c r="Z18">
        <v>1</v>
      </c>
      <c r="AA18">
        <v>1</v>
      </c>
      <c r="AB18">
        <v>1</v>
      </c>
      <c r="AC18">
        <v>1</v>
      </c>
      <c r="AD18">
        <v>1</v>
      </c>
      <c r="AE18">
        <v>1</v>
      </c>
      <c r="AF18">
        <v>1</v>
      </c>
      <c r="AG18">
        <v>1</v>
      </c>
      <c r="AH18">
        <v>1</v>
      </c>
      <c r="AI18">
        <v>1</v>
      </c>
      <c r="AJ18">
        <v>0.99990000000000001</v>
      </c>
      <c r="AK18">
        <v>0.99790000000000001</v>
      </c>
      <c r="AL18">
        <v>0.99339999999999995</v>
      </c>
      <c r="AM18">
        <v>0.98650000000000004</v>
      </c>
      <c r="AN18">
        <v>0.97829999999999995</v>
      </c>
      <c r="AO18">
        <v>0.97009999999999996</v>
      </c>
      <c r="AP18">
        <v>0.96189999999999998</v>
      </c>
      <c r="AQ18">
        <v>0.95369999999999999</v>
      </c>
      <c r="AR18">
        <v>0.94550000000000001</v>
      </c>
      <c r="AS18">
        <v>0.93730000000000002</v>
      </c>
      <c r="AT18">
        <v>0.92910000000000004</v>
      </c>
      <c r="AU18">
        <v>0.92090000000000005</v>
      </c>
      <c r="AV18">
        <v>0.91269999999999996</v>
      </c>
      <c r="AW18">
        <v>0.90449999999999997</v>
      </c>
      <c r="AX18">
        <v>0.89629999999999999</v>
      </c>
      <c r="AY18">
        <v>0.8881</v>
      </c>
      <c r="AZ18">
        <v>0.87990000000000002</v>
      </c>
      <c r="BA18">
        <v>0.87170000000000003</v>
      </c>
      <c r="BB18">
        <v>0.86350000000000005</v>
      </c>
      <c r="BC18">
        <v>0.85529999999999995</v>
      </c>
      <c r="BD18">
        <v>0.84709999999999996</v>
      </c>
      <c r="BE18">
        <v>0.83889999999999998</v>
      </c>
      <c r="BF18">
        <v>0.83069999999999999</v>
      </c>
      <c r="BG18">
        <v>0.82250000000000001</v>
      </c>
      <c r="BH18">
        <v>0.81430000000000002</v>
      </c>
      <c r="BI18">
        <v>0.80610000000000004</v>
      </c>
      <c r="BJ18">
        <v>0.79790000000000005</v>
      </c>
      <c r="BK18">
        <v>0.78969999999999996</v>
      </c>
      <c r="BL18">
        <v>0.78149999999999997</v>
      </c>
      <c r="BM18">
        <v>0.77329999999999999</v>
      </c>
      <c r="BN18">
        <v>0.7651</v>
      </c>
      <c r="BO18">
        <v>0.75690000000000002</v>
      </c>
      <c r="BP18">
        <v>0.74870000000000003</v>
      </c>
      <c r="BQ18">
        <v>0.74050000000000005</v>
      </c>
      <c r="BR18">
        <v>0.73229999999999995</v>
      </c>
      <c r="BS18">
        <v>0.72409999999999997</v>
      </c>
      <c r="BT18">
        <v>0.71550000000000002</v>
      </c>
      <c r="BU18">
        <v>0.70630000000000004</v>
      </c>
      <c r="BV18">
        <v>0.69630000000000003</v>
      </c>
      <c r="BW18">
        <v>0.68569999999999998</v>
      </c>
      <c r="BX18">
        <v>0.67430000000000001</v>
      </c>
      <c r="BY18">
        <v>0.6623</v>
      </c>
      <c r="BZ18">
        <v>0.64949999999999997</v>
      </c>
      <c r="CA18">
        <v>0.6361</v>
      </c>
      <c r="CB18">
        <v>0.62190000000000001</v>
      </c>
      <c r="CC18">
        <v>0.60709999999999997</v>
      </c>
      <c r="CD18">
        <v>0.59150000000000003</v>
      </c>
      <c r="CE18">
        <v>0.57530000000000003</v>
      </c>
      <c r="CF18">
        <v>0.55830000000000002</v>
      </c>
      <c r="CG18">
        <v>0.54069999999999996</v>
      </c>
      <c r="CH18">
        <v>0.52229999999999999</v>
      </c>
      <c r="CI18">
        <v>0.50329999999999997</v>
      </c>
      <c r="CJ18">
        <v>0.48349999999999999</v>
      </c>
      <c r="CK18">
        <v>0.46310000000000001</v>
      </c>
      <c r="CL18">
        <v>0.44190000000000002</v>
      </c>
      <c r="CM18">
        <v>0.42009999999999997</v>
      </c>
      <c r="CN18">
        <v>0.39750000000000002</v>
      </c>
      <c r="CO18">
        <v>0.37430000000000002</v>
      </c>
      <c r="CP18">
        <v>0.3503</v>
      </c>
      <c r="CQ18">
        <v>0.32569999999999999</v>
      </c>
      <c r="CR18">
        <v>0.30030000000000001</v>
      </c>
      <c r="CS18">
        <v>0.27429999999999999</v>
      </c>
      <c r="CT18">
        <v>0.2475</v>
      </c>
      <c r="CU18">
        <v>0.22009999999999999</v>
      </c>
      <c r="CV18">
        <v>0.19189999999999999</v>
      </c>
    </row>
    <row r="19" spans="1:100">
      <c r="A19" t="s">
        <v>37</v>
      </c>
      <c r="B19" t="s">
        <v>38</v>
      </c>
      <c r="C19">
        <v>80.467200000000005</v>
      </c>
      <c r="D19">
        <v>16080</v>
      </c>
      <c r="E19">
        <v>0.44140000000000001</v>
      </c>
      <c r="F19">
        <v>0.50800000000000001</v>
      </c>
      <c r="G19">
        <v>0.57020000000000004</v>
      </c>
      <c r="H19">
        <v>0.62790000000000001</v>
      </c>
      <c r="I19">
        <v>0.68120000000000003</v>
      </c>
      <c r="J19">
        <v>0.73009999999999997</v>
      </c>
      <c r="K19">
        <v>0.77449999999999997</v>
      </c>
      <c r="L19">
        <v>0.8145</v>
      </c>
      <c r="M19">
        <v>0.85</v>
      </c>
      <c r="N19">
        <v>0.88109999999999999</v>
      </c>
      <c r="O19">
        <v>0.90780000000000005</v>
      </c>
      <c r="P19">
        <v>0.93</v>
      </c>
      <c r="Q19">
        <v>0.95</v>
      </c>
      <c r="R19">
        <v>0.96799999999999997</v>
      </c>
      <c r="S19">
        <v>0.98199999999999998</v>
      </c>
      <c r="T19">
        <v>0.99199999999999999</v>
      </c>
      <c r="U19">
        <v>0.998</v>
      </c>
      <c r="V19">
        <v>1</v>
      </c>
      <c r="W19">
        <v>1</v>
      </c>
      <c r="X19">
        <v>1</v>
      </c>
      <c r="Y19">
        <v>1</v>
      </c>
      <c r="Z19">
        <v>1</v>
      </c>
      <c r="AA19">
        <v>1</v>
      </c>
      <c r="AB19">
        <v>1</v>
      </c>
      <c r="AC19">
        <v>1</v>
      </c>
      <c r="AD19">
        <v>1</v>
      </c>
      <c r="AE19">
        <v>1</v>
      </c>
      <c r="AF19">
        <v>1</v>
      </c>
      <c r="AG19">
        <v>1</v>
      </c>
      <c r="AH19">
        <v>1</v>
      </c>
      <c r="AI19">
        <v>1</v>
      </c>
      <c r="AJ19">
        <v>0.99990000000000001</v>
      </c>
      <c r="AK19">
        <v>0.99790000000000001</v>
      </c>
      <c r="AL19">
        <v>0.99339999999999995</v>
      </c>
      <c r="AM19">
        <v>0.98650000000000004</v>
      </c>
      <c r="AN19">
        <v>0.97829999999999995</v>
      </c>
      <c r="AO19">
        <v>0.97009999999999996</v>
      </c>
      <c r="AP19">
        <v>0.96189999999999998</v>
      </c>
      <c r="AQ19">
        <v>0.95369999999999999</v>
      </c>
      <c r="AR19">
        <v>0.94550000000000001</v>
      </c>
      <c r="AS19">
        <v>0.93730000000000002</v>
      </c>
      <c r="AT19">
        <v>0.92910000000000004</v>
      </c>
      <c r="AU19">
        <v>0.92090000000000005</v>
      </c>
      <c r="AV19">
        <v>0.91269999999999996</v>
      </c>
      <c r="AW19">
        <v>0.90449999999999997</v>
      </c>
      <c r="AX19">
        <v>0.89629999999999999</v>
      </c>
      <c r="AY19">
        <v>0.8881</v>
      </c>
      <c r="AZ19">
        <v>0.87990000000000002</v>
      </c>
      <c r="BA19">
        <v>0.87170000000000003</v>
      </c>
      <c r="BB19">
        <v>0.86350000000000005</v>
      </c>
      <c r="BC19">
        <v>0.85529999999999995</v>
      </c>
      <c r="BD19">
        <v>0.84709999999999996</v>
      </c>
      <c r="BE19">
        <v>0.83889999999999998</v>
      </c>
      <c r="BF19">
        <v>0.83069999999999999</v>
      </c>
      <c r="BG19">
        <v>0.82250000000000001</v>
      </c>
      <c r="BH19">
        <v>0.81430000000000002</v>
      </c>
      <c r="BI19">
        <v>0.80610000000000004</v>
      </c>
      <c r="BJ19">
        <v>0.79790000000000005</v>
      </c>
      <c r="BK19">
        <v>0.78969999999999996</v>
      </c>
      <c r="BL19">
        <v>0.78149999999999997</v>
      </c>
      <c r="BM19">
        <v>0.77329999999999999</v>
      </c>
      <c r="BN19">
        <v>0.7651</v>
      </c>
      <c r="BO19">
        <v>0.75690000000000002</v>
      </c>
      <c r="BP19">
        <v>0.74870000000000003</v>
      </c>
      <c r="BQ19">
        <v>0.74050000000000005</v>
      </c>
      <c r="BR19">
        <v>0.73229999999999995</v>
      </c>
      <c r="BS19">
        <v>0.72409999999999997</v>
      </c>
      <c r="BT19">
        <v>0.71550000000000002</v>
      </c>
      <c r="BU19">
        <v>0.70630000000000004</v>
      </c>
      <c r="BV19">
        <v>0.69630000000000003</v>
      </c>
      <c r="BW19">
        <v>0.68569999999999998</v>
      </c>
      <c r="BX19">
        <v>0.67430000000000001</v>
      </c>
      <c r="BY19">
        <v>0.6623</v>
      </c>
      <c r="BZ19">
        <v>0.64949999999999997</v>
      </c>
      <c r="CA19">
        <v>0.6361</v>
      </c>
      <c r="CB19">
        <v>0.62190000000000001</v>
      </c>
      <c r="CC19">
        <v>0.60709999999999997</v>
      </c>
      <c r="CD19">
        <v>0.59150000000000003</v>
      </c>
      <c r="CE19">
        <v>0.57530000000000003</v>
      </c>
      <c r="CF19">
        <v>0.55830000000000002</v>
      </c>
      <c r="CG19">
        <v>0.54069999999999996</v>
      </c>
      <c r="CH19">
        <v>0.52229999999999999</v>
      </c>
      <c r="CI19">
        <v>0.50329999999999997</v>
      </c>
      <c r="CJ19">
        <v>0.48349999999999999</v>
      </c>
      <c r="CK19">
        <v>0.46310000000000001</v>
      </c>
      <c r="CL19">
        <v>0.44190000000000002</v>
      </c>
      <c r="CM19">
        <v>0.42009999999999997</v>
      </c>
      <c r="CN19">
        <v>0.39750000000000002</v>
      </c>
      <c r="CO19">
        <v>0.37430000000000002</v>
      </c>
      <c r="CP19">
        <v>0.3503</v>
      </c>
      <c r="CQ19">
        <v>0.32569999999999999</v>
      </c>
      <c r="CR19">
        <v>0.30030000000000001</v>
      </c>
      <c r="CS19">
        <v>0.27429999999999999</v>
      </c>
      <c r="CT19">
        <v>0.2475</v>
      </c>
      <c r="CU19">
        <v>0.22009999999999999</v>
      </c>
      <c r="CV19">
        <v>0.19189999999999999</v>
      </c>
    </row>
    <row r="20" spans="1:100">
      <c r="A20" t="s">
        <v>39</v>
      </c>
      <c r="B20" t="s">
        <v>40</v>
      </c>
      <c r="C20">
        <v>100</v>
      </c>
      <c r="D20">
        <v>21360</v>
      </c>
      <c r="E20">
        <v>0.44140000000000001</v>
      </c>
      <c r="F20">
        <v>0.50800000000000001</v>
      </c>
      <c r="G20">
        <v>0.57020000000000004</v>
      </c>
      <c r="H20">
        <v>0.62790000000000001</v>
      </c>
      <c r="I20">
        <v>0.68120000000000003</v>
      </c>
      <c r="J20">
        <v>0.73009999999999997</v>
      </c>
      <c r="K20">
        <v>0.77449999999999997</v>
      </c>
      <c r="L20">
        <v>0.8145</v>
      </c>
      <c r="M20">
        <v>0.85</v>
      </c>
      <c r="N20">
        <v>0.88109999999999999</v>
      </c>
      <c r="O20">
        <v>0.90780000000000005</v>
      </c>
      <c r="P20">
        <v>0.93</v>
      </c>
      <c r="Q20">
        <v>0.95</v>
      </c>
      <c r="R20">
        <v>0.96799999999999997</v>
      </c>
      <c r="S20">
        <v>0.98199999999999998</v>
      </c>
      <c r="T20">
        <v>0.99199999999999999</v>
      </c>
      <c r="U20">
        <v>0.998</v>
      </c>
      <c r="V20">
        <v>1</v>
      </c>
      <c r="W20">
        <v>1</v>
      </c>
      <c r="X20">
        <v>1</v>
      </c>
      <c r="Y20">
        <v>1</v>
      </c>
      <c r="Z20">
        <v>1</v>
      </c>
      <c r="AA20">
        <v>1</v>
      </c>
      <c r="AB20">
        <v>1</v>
      </c>
      <c r="AC20">
        <v>1</v>
      </c>
      <c r="AD20">
        <v>1</v>
      </c>
      <c r="AE20">
        <v>1</v>
      </c>
      <c r="AF20">
        <v>1</v>
      </c>
      <c r="AG20">
        <v>1</v>
      </c>
      <c r="AH20">
        <v>1</v>
      </c>
      <c r="AI20">
        <v>1</v>
      </c>
      <c r="AJ20">
        <v>0.99990000000000001</v>
      </c>
      <c r="AK20">
        <v>0.99790000000000001</v>
      </c>
      <c r="AL20">
        <v>0.99339999999999995</v>
      </c>
      <c r="AM20">
        <v>0.98650000000000004</v>
      </c>
      <c r="AN20">
        <v>0.97829999999999995</v>
      </c>
      <c r="AO20">
        <v>0.97009999999999996</v>
      </c>
      <c r="AP20">
        <v>0.96189999999999998</v>
      </c>
      <c r="AQ20">
        <v>0.95369999999999999</v>
      </c>
      <c r="AR20">
        <v>0.94550000000000001</v>
      </c>
      <c r="AS20">
        <v>0.93730000000000002</v>
      </c>
      <c r="AT20">
        <v>0.92910000000000004</v>
      </c>
      <c r="AU20">
        <v>0.92090000000000005</v>
      </c>
      <c r="AV20">
        <v>0.91269999999999996</v>
      </c>
      <c r="AW20">
        <v>0.90449999999999997</v>
      </c>
      <c r="AX20">
        <v>0.89629999999999999</v>
      </c>
      <c r="AY20">
        <v>0.8881</v>
      </c>
      <c r="AZ20">
        <v>0.87990000000000002</v>
      </c>
      <c r="BA20">
        <v>0.87170000000000003</v>
      </c>
      <c r="BB20">
        <v>0.86350000000000005</v>
      </c>
      <c r="BC20">
        <v>0.85529999999999995</v>
      </c>
      <c r="BD20">
        <v>0.84709999999999996</v>
      </c>
      <c r="BE20">
        <v>0.83889999999999998</v>
      </c>
      <c r="BF20">
        <v>0.83069999999999999</v>
      </c>
      <c r="BG20">
        <v>0.82250000000000001</v>
      </c>
      <c r="BH20">
        <v>0.81430000000000002</v>
      </c>
      <c r="BI20">
        <v>0.80610000000000004</v>
      </c>
      <c r="BJ20">
        <v>0.79790000000000005</v>
      </c>
      <c r="BK20">
        <v>0.78969999999999996</v>
      </c>
      <c r="BL20">
        <v>0.78149999999999997</v>
      </c>
      <c r="BM20">
        <v>0.77329999999999999</v>
      </c>
      <c r="BN20">
        <v>0.7651</v>
      </c>
      <c r="BO20">
        <v>0.75690000000000002</v>
      </c>
      <c r="BP20">
        <v>0.74870000000000003</v>
      </c>
      <c r="BQ20">
        <v>0.74050000000000005</v>
      </c>
      <c r="BR20">
        <v>0.73229999999999995</v>
      </c>
      <c r="BS20">
        <v>0.72409999999999997</v>
      </c>
      <c r="BT20">
        <v>0.71550000000000002</v>
      </c>
      <c r="BU20">
        <v>0.70630000000000004</v>
      </c>
      <c r="BV20">
        <v>0.69630000000000003</v>
      </c>
      <c r="BW20">
        <v>0.68569999999999998</v>
      </c>
      <c r="BX20">
        <v>0.67430000000000001</v>
      </c>
      <c r="BY20">
        <v>0.6623</v>
      </c>
      <c r="BZ20">
        <v>0.64949999999999997</v>
      </c>
      <c r="CA20">
        <v>0.6361</v>
      </c>
      <c r="CB20">
        <v>0.62190000000000001</v>
      </c>
      <c r="CC20">
        <v>0.60709999999999997</v>
      </c>
      <c r="CD20">
        <v>0.59150000000000003</v>
      </c>
      <c r="CE20">
        <v>0.57530000000000003</v>
      </c>
      <c r="CF20">
        <v>0.55830000000000002</v>
      </c>
      <c r="CG20">
        <v>0.54069999999999996</v>
      </c>
      <c r="CH20">
        <v>0.52229999999999999</v>
      </c>
      <c r="CI20">
        <v>0.50329999999999997</v>
      </c>
      <c r="CJ20">
        <v>0.48349999999999999</v>
      </c>
      <c r="CK20">
        <v>0.46310000000000001</v>
      </c>
      <c r="CL20">
        <v>0.44190000000000002</v>
      </c>
      <c r="CM20">
        <v>0.42009999999999997</v>
      </c>
      <c r="CN20">
        <v>0.39750000000000002</v>
      </c>
      <c r="CO20">
        <v>0.37430000000000002</v>
      </c>
      <c r="CP20">
        <v>0.3503</v>
      </c>
      <c r="CQ20">
        <v>0.32569999999999999</v>
      </c>
      <c r="CR20">
        <v>0.30030000000000001</v>
      </c>
      <c r="CS20">
        <v>0.27429999999999999</v>
      </c>
      <c r="CT20">
        <v>0.2475</v>
      </c>
      <c r="CU20">
        <v>0.22009999999999999</v>
      </c>
      <c r="CV20">
        <v>0.19189999999999999</v>
      </c>
    </row>
    <row r="21" spans="1:100">
      <c r="A21" t="s">
        <v>41</v>
      </c>
      <c r="B21" t="s">
        <v>42</v>
      </c>
      <c r="C21">
        <v>150</v>
      </c>
      <c r="D21">
        <v>36300</v>
      </c>
      <c r="E21">
        <v>0.44140000000000001</v>
      </c>
      <c r="F21">
        <v>0.50800000000000001</v>
      </c>
      <c r="G21">
        <v>0.57020000000000004</v>
      </c>
      <c r="H21">
        <v>0.62790000000000001</v>
      </c>
      <c r="I21">
        <v>0.68120000000000003</v>
      </c>
      <c r="J21">
        <v>0.73009999999999997</v>
      </c>
      <c r="K21">
        <v>0.77449999999999997</v>
      </c>
      <c r="L21">
        <v>0.8145</v>
      </c>
      <c r="M21">
        <v>0.85</v>
      </c>
      <c r="N21">
        <v>0.88109999999999999</v>
      </c>
      <c r="O21">
        <v>0.90780000000000005</v>
      </c>
      <c r="P21">
        <v>0.93</v>
      </c>
      <c r="Q21">
        <v>0.95</v>
      </c>
      <c r="R21">
        <v>0.96799999999999997</v>
      </c>
      <c r="S21">
        <v>0.98199999999999998</v>
      </c>
      <c r="T21">
        <v>0.99199999999999999</v>
      </c>
      <c r="U21">
        <v>0.998</v>
      </c>
      <c r="V21">
        <v>1</v>
      </c>
      <c r="W21">
        <v>1</v>
      </c>
      <c r="X21">
        <v>1</v>
      </c>
      <c r="Y21">
        <v>1</v>
      </c>
      <c r="Z21">
        <v>1</v>
      </c>
      <c r="AA21">
        <v>1</v>
      </c>
      <c r="AB21">
        <v>1</v>
      </c>
      <c r="AC21">
        <v>1</v>
      </c>
      <c r="AD21">
        <v>1</v>
      </c>
      <c r="AE21">
        <v>1</v>
      </c>
      <c r="AF21">
        <v>1</v>
      </c>
      <c r="AG21">
        <v>1</v>
      </c>
      <c r="AH21">
        <v>1</v>
      </c>
      <c r="AI21">
        <v>1</v>
      </c>
      <c r="AJ21">
        <v>0.99990000000000001</v>
      </c>
      <c r="AK21">
        <v>0.99790000000000001</v>
      </c>
      <c r="AL21">
        <v>0.99339999999999995</v>
      </c>
      <c r="AM21">
        <v>0.98650000000000004</v>
      </c>
      <c r="AN21">
        <v>0.97829999999999995</v>
      </c>
      <c r="AO21">
        <v>0.97009999999999996</v>
      </c>
      <c r="AP21">
        <v>0.96189999999999998</v>
      </c>
      <c r="AQ21">
        <v>0.95369999999999999</v>
      </c>
      <c r="AR21">
        <v>0.94550000000000001</v>
      </c>
      <c r="AS21">
        <v>0.93730000000000002</v>
      </c>
      <c r="AT21">
        <v>0.92910000000000004</v>
      </c>
      <c r="AU21">
        <v>0.92090000000000005</v>
      </c>
      <c r="AV21">
        <v>0.91269999999999996</v>
      </c>
      <c r="AW21">
        <v>0.90449999999999997</v>
      </c>
      <c r="AX21">
        <v>0.89629999999999999</v>
      </c>
      <c r="AY21">
        <v>0.8881</v>
      </c>
      <c r="AZ21">
        <v>0.87990000000000002</v>
      </c>
      <c r="BA21">
        <v>0.87170000000000003</v>
      </c>
      <c r="BB21">
        <v>0.86350000000000005</v>
      </c>
      <c r="BC21">
        <v>0.85529999999999995</v>
      </c>
      <c r="BD21">
        <v>0.84709999999999996</v>
      </c>
      <c r="BE21">
        <v>0.83889999999999998</v>
      </c>
      <c r="BF21">
        <v>0.83069999999999999</v>
      </c>
      <c r="BG21">
        <v>0.82250000000000001</v>
      </c>
      <c r="BH21">
        <v>0.81430000000000002</v>
      </c>
      <c r="BI21">
        <v>0.80610000000000004</v>
      </c>
      <c r="BJ21">
        <v>0.79790000000000005</v>
      </c>
      <c r="BK21">
        <v>0.78969999999999996</v>
      </c>
      <c r="BL21">
        <v>0.78149999999999997</v>
      </c>
      <c r="BM21">
        <v>0.77329999999999999</v>
      </c>
      <c r="BN21">
        <v>0.7651</v>
      </c>
      <c r="BO21">
        <v>0.75690000000000002</v>
      </c>
      <c r="BP21">
        <v>0.74870000000000003</v>
      </c>
      <c r="BQ21">
        <v>0.74050000000000005</v>
      </c>
      <c r="BR21">
        <v>0.73229999999999995</v>
      </c>
      <c r="BS21">
        <v>0.72409999999999997</v>
      </c>
      <c r="BT21">
        <v>0.71550000000000002</v>
      </c>
      <c r="BU21">
        <v>0.70630000000000004</v>
      </c>
      <c r="BV21">
        <v>0.69630000000000003</v>
      </c>
      <c r="BW21">
        <v>0.68569999999999998</v>
      </c>
      <c r="BX21">
        <v>0.67430000000000001</v>
      </c>
      <c r="BY21">
        <v>0.6623</v>
      </c>
      <c r="BZ21">
        <v>0.64949999999999997</v>
      </c>
      <c r="CA21">
        <v>0.6361</v>
      </c>
      <c r="CB21">
        <v>0.62190000000000001</v>
      </c>
      <c r="CC21">
        <v>0.60709999999999997</v>
      </c>
      <c r="CD21">
        <v>0.59150000000000003</v>
      </c>
      <c r="CE21">
        <v>0.57530000000000003</v>
      </c>
      <c r="CF21">
        <v>0.55830000000000002</v>
      </c>
      <c r="CG21">
        <v>0.54069999999999996</v>
      </c>
      <c r="CH21">
        <v>0.52229999999999999</v>
      </c>
      <c r="CI21">
        <v>0.50329999999999997</v>
      </c>
      <c r="CJ21">
        <v>0.48349999999999999</v>
      </c>
      <c r="CK21">
        <v>0.46310000000000001</v>
      </c>
      <c r="CL21">
        <v>0.44190000000000002</v>
      </c>
      <c r="CM21">
        <v>0.42009999999999997</v>
      </c>
      <c r="CN21">
        <v>0.39750000000000002</v>
      </c>
      <c r="CO21">
        <v>0.37430000000000002</v>
      </c>
      <c r="CP21">
        <v>0.3503</v>
      </c>
      <c r="CQ21">
        <v>0.32569999999999999</v>
      </c>
      <c r="CR21">
        <v>0.30030000000000001</v>
      </c>
      <c r="CS21">
        <v>0.27429999999999999</v>
      </c>
      <c r="CT21">
        <v>0.2475</v>
      </c>
      <c r="CU21">
        <v>0.22009999999999999</v>
      </c>
      <c r="CV21">
        <v>0.19189999999999999</v>
      </c>
    </row>
    <row r="22" spans="1:100">
      <c r="A22" t="s">
        <v>43</v>
      </c>
      <c r="B22" t="s">
        <v>44</v>
      </c>
      <c r="C22">
        <v>160.93440000000001</v>
      </c>
      <c r="D22">
        <v>39790</v>
      </c>
      <c r="E22">
        <v>0.44140000000000001</v>
      </c>
      <c r="F22">
        <v>0.50800000000000001</v>
      </c>
      <c r="G22">
        <v>0.57020000000000004</v>
      </c>
      <c r="H22">
        <v>0.62790000000000001</v>
      </c>
      <c r="I22">
        <v>0.68120000000000003</v>
      </c>
      <c r="J22">
        <v>0.73009999999999997</v>
      </c>
      <c r="K22">
        <v>0.77449999999999997</v>
      </c>
      <c r="L22">
        <v>0.8145</v>
      </c>
      <c r="M22">
        <v>0.85</v>
      </c>
      <c r="N22">
        <v>0.88109999999999999</v>
      </c>
      <c r="O22">
        <v>0.90780000000000005</v>
      </c>
      <c r="P22">
        <v>0.93</v>
      </c>
      <c r="Q22">
        <v>0.95</v>
      </c>
      <c r="R22">
        <v>0.96799999999999997</v>
      </c>
      <c r="S22">
        <v>0.98199999999999998</v>
      </c>
      <c r="T22">
        <v>0.99199999999999999</v>
      </c>
      <c r="U22">
        <v>0.998</v>
      </c>
      <c r="V22">
        <v>1</v>
      </c>
      <c r="W22">
        <v>1</v>
      </c>
      <c r="X22">
        <v>1</v>
      </c>
      <c r="Y22">
        <v>1</v>
      </c>
      <c r="Z22">
        <v>1</v>
      </c>
      <c r="AA22">
        <v>1</v>
      </c>
      <c r="AB22">
        <v>1</v>
      </c>
      <c r="AC22">
        <v>1</v>
      </c>
      <c r="AD22">
        <v>1</v>
      </c>
      <c r="AE22">
        <v>1</v>
      </c>
      <c r="AF22">
        <v>1</v>
      </c>
      <c r="AG22">
        <v>1</v>
      </c>
      <c r="AH22">
        <v>1</v>
      </c>
      <c r="AI22">
        <v>1</v>
      </c>
      <c r="AJ22">
        <v>0.99990000000000001</v>
      </c>
      <c r="AK22">
        <v>0.99790000000000001</v>
      </c>
      <c r="AL22">
        <v>0.99339999999999995</v>
      </c>
      <c r="AM22">
        <v>0.98650000000000004</v>
      </c>
      <c r="AN22">
        <v>0.97829999999999995</v>
      </c>
      <c r="AO22">
        <v>0.97009999999999996</v>
      </c>
      <c r="AP22">
        <v>0.96189999999999998</v>
      </c>
      <c r="AQ22">
        <v>0.95369999999999999</v>
      </c>
      <c r="AR22">
        <v>0.94550000000000001</v>
      </c>
      <c r="AS22">
        <v>0.93730000000000002</v>
      </c>
      <c r="AT22">
        <v>0.92910000000000004</v>
      </c>
      <c r="AU22">
        <v>0.92090000000000005</v>
      </c>
      <c r="AV22">
        <v>0.91269999999999996</v>
      </c>
      <c r="AW22">
        <v>0.90449999999999997</v>
      </c>
      <c r="AX22">
        <v>0.89629999999999999</v>
      </c>
      <c r="AY22">
        <v>0.8881</v>
      </c>
      <c r="AZ22">
        <v>0.87990000000000002</v>
      </c>
      <c r="BA22">
        <v>0.87170000000000003</v>
      </c>
      <c r="BB22">
        <v>0.86350000000000005</v>
      </c>
      <c r="BC22">
        <v>0.85529999999999995</v>
      </c>
      <c r="BD22">
        <v>0.84709999999999996</v>
      </c>
      <c r="BE22">
        <v>0.83889999999999998</v>
      </c>
      <c r="BF22">
        <v>0.83069999999999999</v>
      </c>
      <c r="BG22">
        <v>0.82250000000000001</v>
      </c>
      <c r="BH22">
        <v>0.81430000000000002</v>
      </c>
      <c r="BI22">
        <v>0.80610000000000004</v>
      </c>
      <c r="BJ22">
        <v>0.79790000000000005</v>
      </c>
      <c r="BK22">
        <v>0.78969999999999996</v>
      </c>
      <c r="BL22">
        <v>0.78149999999999997</v>
      </c>
      <c r="BM22">
        <v>0.77329999999999999</v>
      </c>
      <c r="BN22">
        <v>0.7651</v>
      </c>
      <c r="BO22">
        <v>0.75690000000000002</v>
      </c>
      <c r="BP22">
        <v>0.74870000000000003</v>
      </c>
      <c r="BQ22">
        <v>0.74050000000000005</v>
      </c>
      <c r="BR22">
        <v>0.73229999999999995</v>
      </c>
      <c r="BS22">
        <v>0.72409999999999997</v>
      </c>
      <c r="BT22">
        <v>0.71550000000000002</v>
      </c>
      <c r="BU22">
        <v>0.70630000000000004</v>
      </c>
      <c r="BV22">
        <v>0.69630000000000003</v>
      </c>
      <c r="BW22">
        <v>0.68569999999999998</v>
      </c>
      <c r="BX22">
        <v>0.67430000000000001</v>
      </c>
      <c r="BY22">
        <v>0.6623</v>
      </c>
      <c r="BZ22">
        <v>0.64949999999999997</v>
      </c>
      <c r="CA22">
        <v>0.6361</v>
      </c>
      <c r="CB22">
        <v>0.62190000000000001</v>
      </c>
      <c r="CC22">
        <v>0.60709999999999997</v>
      </c>
      <c r="CD22">
        <v>0.59150000000000003</v>
      </c>
      <c r="CE22">
        <v>0.57530000000000003</v>
      </c>
      <c r="CF22">
        <v>0.55830000000000002</v>
      </c>
      <c r="CG22">
        <v>0.54069999999999996</v>
      </c>
      <c r="CH22">
        <v>0.52229999999999999</v>
      </c>
      <c r="CI22">
        <v>0.50329999999999997</v>
      </c>
      <c r="CJ22">
        <v>0.48349999999999999</v>
      </c>
      <c r="CK22">
        <v>0.46310000000000001</v>
      </c>
      <c r="CL22">
        <v>0.44190000000000002</v>
      </c>
      <c r="CM22">
        <v>0.42009999999999997</v>
      </c>
      <c r="CN22">
        <v>0.39750000000000002</v>
      </c>
      <c r="CO22">
        <v>0.37430000000000002</v>
      </c>
      <c r="CP22">
        <v>0.3503</v>
      </c>
      <c r="CQ22">
        <v>0.32569999999999999</v>
      </c>
      <c r="CR22">
        <v>0.30030000000000001</v>
      </c>
      <c r="CS22">
        <v>0.27429999999999999</v>
      </c>
      <c r="CT22">
        <v>0.2475</v>
      </c>
      <c r="CU22">
        <v>0.22009999999999999</v>
      </c>
      <c r="CV22">
        <v>0.19189999999999999</v>
      </c>
    </row>
    <row r="23" spans="1:100">
      <c r="A23" t="s">
        <v>45</v>
      </c>
      <c r="B23" t="s">
        <v>46</v>
      </c>
      <c r="C23">
        <v>200</v>
      </c>
      <c r="D23">
        <v>52800</v>
      </c>
      <c r="E23">
        <v>0.44140000000000001</v>
      </c>
      <c r="F23">
        <v>0.50800000000000001</v>
      </c>
      <c r="G23">
        <v>0.57020000000000004</v>
      </c>
      <c r="H23">
        <v>0.62790000000000001</v>
      </c>
      <c r="I23">
        <v>0.68120000000000003</v>
      </c>
      <c r="J23">
        <v>0.73009999999999997</v>
      </c>
      <c r="K23">
        <v>0.77449999999999997</v>
      </c>
      <c r="L23">
        <v>0.8145</v>
      </c>
      <c r="M23">
        <v>0.85</v>
      </c>
      <c r="N23">
        <v>0.88109999999999999</v>
      </c>
      <c r="O23">
        <v>0.90780000000000005</v>
      </c>
      <c r="P23">
        <v>0.93</v>
      </c>
      <c r="Q23">
        <v>0.95</v>
      </c>
      <c r="R23">
        <v>0.96799999999999997</v>
      </c>
      <c r="S23">
        <v>0.98199999999999998</v>
      </c>
      <c r="T23">
        <v>0.99199999999999999</v>
      </c>
      <c r="U23">
        <v>0.998</v>
      </c>
      <c r="V23">
        <v>1</v>
      </c>
      <c r="W23">
        <v>1</v>
      </c>
      <c r="X23">
        <v>1</v>
      </c>
      <c r="Y23">
        <v>1</v>
      </c>
      <c r="Z23">
        <v>1</v>
      </c>
      <c r="AA23">
        <v>1</v>
      </c>
      <c r="AB23">
        <v>1</v>
      </c>
      <c r="AC23">
        <v>1</v>
      </c>
      <c r="AD23">
        <v>1</v>
      </c>
      <c r="AE23">
        <v>1</v>
      </c>
      <c r="AF23">
        <v>1</v>
      </c>
      <c r="AG23">
        <v>1</v>
      </c>
      <c r="AH23">
        <v>1</v>
      </c>
      <c r="AI23">
        <v>1</v>
      </c>
      <c r="AJ23">
        <v>0.99990000000000001</v>
      </c>
      <c r="AK23">
        <v>0.99790000000000001</v>
      </c>
      <c r="AL23">
        <v>0.99339999999999995</v>
      </c>
      <c r="AM23">
        <v>0.98650000000000004</v>
      </c>
      <c r="AN23">
        <v>0.97829999999999995</v>
      </c>
      <c r="AO23">
        <v>0.97009999999999996</v>
      </c>
      <c r="AP23">
        <v>0.96189999999999998</v>
      </c>
      <c r="AQ23">
        <v>0.95369999999999999</v>
      </c>
      <c r="AR23">
        <v>0.94550000000000001</v>
      </c>
      <c r="AS23">
        <v>0.93730000000000002</v>
      </c>
      <c r="AT23">
        <v>0.92910000000000004</v>
      </c>
      <c r="AU23">
        <v>0.92090000000000005</v>
      </c>
      <c r="AV23">
        <v>0.91269999999999996</v>
      </c>
      <c r="AW23">
        <v>0.90449999999999997</v>
      </c>
      <c r="AX23">
        <v>0.89629999999999999</v>
      </c>
      <c r="AY23">
        <v>0.8881</v>
      </c>
      <c r="AZ23">
        <v>0.87990000000000002</v>
      </c>
      <c r="BA23">
        <v>0.87170000000000003</v>
      </c>
      <c r="BB23">
        <v>0.86350000000000005</v>
      </c>
      <c r="BC23">
        <v>0.85529999999999995</v>
      </c>
      <c r="BD23">
        <v>0.84709999999999996</v>
      </c>
      <c r="BE23">
        <v>0.83889999999999998</v>
      </c>
      <c r="BF23">
        <v>0.83069999999999999</v>
      </c>
      <c r="BG23">
        <v>0.82250000000000001</v>
      </c>
      <c r="BH23">
        <v>0.81430000000000002</v>
      </c>
      <c r="BI23">
        <v>0.80610000000000004</v>
      </c>
      <c r="BJ23">
        <v>0.79790000000000005</v>
      </c>
      <c r="BK23">
        <v>0.78969999999999996</v>
      </c>
      <c r="BL23">
        <v>0.78149999999999997</v>
      </c>
      <c r="BM23">
        <v>0.77329999999999999</v>
      </c>
      <c r="BN23">
        <v>0.7651</v>
      </c>
      <c r="BO23">
        <v>0.75690000000000002</v>
      </c>
      <c r="BP23">
        <v>0.74870000000000003</v>
      </c>
      <c r="BQ23">
        <v>0.74050000000000005</v>
      </c>
      <c r="BR23">
        <v>0.73229999999999995</v>
      </c>
      <c r="BS23">
        <v>0.72409999999999997</v>
      </c>
      <c r="BT23">
        <v>0.71550000000000002</v>
      </c>
      <c r="BU23">
        <v>0.70630000000000004</v>
      </c>
      <c r="BV23">
        <v>0.69630000000000003</v>
      </c>
      <c r="BW23">
        <v>0.68569999999999998</v>
      </c>
      <c r="BX23">
        <v>0.67430000000000001</v>
      </c>
      <c r="BY23">
        <v>0.6623</v>
      </c>
      <c r="BZ23">
        <v>0.64949999999999997</v>
      </c>
      <c r="CA23">
        <v>0.6361</v>
      </c>
      <c r="CB23">
        <v>0.62190000000000001</v>
      </c>
      <c r="CC23">
        <v>0.60709999999999997</v>
      </c>
      <c r="CD23">
        <v>0.59150000000000003</v>
      </c>
      <c r="CE23">
        <v>0.57530000000000003</v>
      </c>
      <c r="CF23">
        <v>0.55830000000000002</v>
      </c>
      <c r="CG23">
        <v>0.54069999999999996</v>
      </c>
      <c r="CH23">
        <v>0.52229999999999999</v>
      </c>
      <c r="CI23">
        <v>0.50329999999999997</v>
      </c>
      <c r="CJ23">
        <v>0.48349999999999999</v>
      </c>
      <c r="CK23">
        <v>0.46310000000000001</v>
      </c>
      <c r="CL23">
        <v>0.44190000000000002</v>
      </c>
      <c r="CM23">
        <v>0.42009999999999997</v>
      </c>
      <c r="CN23">
        <v>0.39750000000000002</v>
      </c>
      <c r="CO23">
        <v>0.37430000000000002</v>
      </c>
      <c r="CP23">
        <v>0.3503</v>
      </c>
      <c r="CQ23">
        <v>0.32569999999999999</v>
      </c>
      <c r="CR23">
        <v>0.30030000000000001</v>
      </c>
      <c r="CS23">
        <v>0.27429999999999999</v>
      </c>
      <c r="CT23">
        <v>0.2475</v>
      </c>
      <c r="CU23">
        <v>0.22009999999999999</v>
      </c>
      <c r="CV23">
        <v>0.19189999999999999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F6CEF2-8C68-44B5-AE4A-FACDFC4ADD57}">
  <sheetPr codeName="Sheet13"/>
  <dimension ref="A1:D13"/>
  <sheetViews>
    <sheetView workbookViewId="0">
      <selection activeCell="D2" sqref="D2"/>
    </sheetView>
  </sheetViews>
  <sheetFormatPr defaultRowHeight="12.75"/>
  <cols>
    <col min="1" max="1" width="11.125" style="2" bestFit="1" customWidth="1"/>
    <col min="2" max="3" width="9.75" style="2" bestFit="1" customWidth="1"/>
    <col min="4" max="4" width="12.75" style="2" bestFit="1" customWidth="1"/>
    <col min="5" max="16384" width="9" style="2"/>
  </cols>
  <sheetData>
    <row r="1" spans="1:4">
      <c r="A1" s="1" t="s">
        <v>69</v>
      </c>
      <c r="D1" s="2" t="s">
        <v>79</v>
      </c>
    </row>
    <row r="2" spans="1:4">
      <c r="A2" s="3" t="s">
        <v>70</v>
      </c>
      <c r="B2" s="4">
        <v>56</v>
      </c>
      <c r="D2" s="2">
        <f ca="1">MATCH(B2,INDIRECT(B$3&amp;"!E1:CV1"),0)</f>
        <v>52</v>
      </c>
    </row>
    <row r="3" spans="1:4">
      <c r="A3" s="3" t="s">
        <v>71</v>
      </c>
      <c r="B3" s="4" t="s">
        <v>78</v>
      </c>
      <c r="C3" s="9">
        <f>IF(B3="Female",0,1)</f>
        <v>0</v>
      </c>
    </row>
    <row r="4" spans="1:4">
      <c r="A4" s="3" t="s">
        <v>72</v>
      </c>
      <c r="B4" s="5" t="s">
        <v>16</v>
      </c>
      <c r="D4" s="2">
        <f ca="1">MATCH(B$4,INDIRECT(B$3&amp;"!B2:B23"),0)</f>
        <v>7</v>
      </c>
    </row>
    <row r="5" spans="1:4">
      <c r="A5" s="3" t="s">
        <v>73</v>
      </c>
      <c r="B5" s="11">
        <f>AgeStandard(B4,C3)</f>
        <v>1726</v>
      </c>
      <c r="D5" s="2" cm="1">
        <f t="array" aca="1" ref="D5" ca="1">OFFSET(INDIRECT(B$3&amp;"!D1"),D$4,0)</f>
        <v>1726</v>
      </c>
    </row>
    <row r="6" spans="1:4">
      <c r="A6" s="3" t="s">
        <v>74</v>
      </c>
      <c r="B6" s="7">
        <f>AgeFactor(B4,B2,C3)</f>
        <v>0.82260000705718994</v>
      </c>
      <c r="D6" s="2" cm="1">
        <f t="array" aca="1" ref="D6" ca="1">OFFSET(INDIRECT(B$3&amp;"!D1"),D$4,D$2)</f>
        <v>0.8226</v>
      </c>
    </row>
    <row r="8" spans="1:4">
      <c r="A8" s="3" t="s">
        <v>1</v>
      </c>
      <c r="B8" s="4">
        <v>10</v>
      </c>
    </row>
    <row r="9" spans="1:4">
      <c r="A9" s="6" t="s">
        <v>77</v>
      </c>
      <c r="B9" s="4">
        <v>2400</v>
      </c>
    </row>
    <row r="10" spans="1:4">
      <c r="A10" s="3" t="s">
        <v>73</v>
      </c>
      <c r="B10" s="11">
        <f>IAgeStandard(B8,C3)</f>
        <v>1726</v>
      </c>
    </row>
    <row r="11" spans="1:4">
      <c r="A11" s="3" t="s">
        <v>74</v>
      </c>
      <c r="B11" s="7">
        <f>IAgeFactor(B8,B2,C3)</f>
        <v>0.82260000705718994</v>
      </c>
    </row>
    <row r="12" spans="1:4">
      <c r="A12" s="3" t="s">
        <v>75</v>
      </c>
      <c r="B12" s="10">
        <f>dist_wrecs(B8,B2,C3)</f>
        <v>4.7659330368041992</v>
      </c>
    </row>
    <row r="13" spans="1:4" ht="14.25">
      <c r="A13" s="6" t="s">
        <v>76</v>
      </c>
      <c r="B13" s="8">
        <f>PWWRSpeed(B8,B9,B2,C3)</f>
        <v>0.87426042556762695</v>
      </c>
    </row>
  </sheetData>
  <dataValidations count="3">
    <dataValidation type="list" showDropDown="1" showInputMessage="1" showErrorMessage="1" sqref="C3" xr:uid="{D4C8D13C-E6FD-4927-8CF9-47E662E317BC}">
      <formula1>"0,1"</formula1>
    </dataValidation>
    <dataValidation type="list" allowBlank="1" showInputMessage="1" showErrorMessage="1" sqref="B3" xr:uid="{C1513C86-0CDE-45A2-AADA-D78C489CC1CA}">
      <formula1>"Male,Female"</formula1>
    </dataValidation>
    <dataValidation type="list" allowBlank="1" showInputMessage="1" showErrorMessage="1" promptTitle="Event" sqref="B4" xr:uid="{8670BDBD-7EFF-4A08-823B-8B5D7FDA8FA0}">
      <formula1>INDIRECT(B3&amp;"!$B$4:$B$23")</formula1>
    </dataValidation>
  </dataValidations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Female</vt:lpstr>
      <vt:lpstr>Male</vt:lpstr>
      <vt:lpstr>Example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Howard Grubb</cp:lastModifiedBy>
  <dcterms:created xsi:type="dcterms:W3CDTF">2025-01-25T10:45:22Z</dcterms:created>
  <dcterms:modified xsi:type="dcterms:W3CDTF">2025-07-28T16:57:16Z</dcterms:modified>
</cp:coreProperties>
</file>